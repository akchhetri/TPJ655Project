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defaultThemeVersion="166925"/>
  <mc:AlternateContent xmlns:mc="http://schemas.openxmlformats.org/markup-compatibility/2006">
    <mc:Choice Requires="x15">
      <x15ac:absPath xmlns:x15ac="http://schemas.microsoft.com/office/spreadsheetml/2010/11/ac" url="E:\Semester 6\Smart Aquarium and Water Chemistry Management Engine\"/>
    </mc:Choice>
  </mc:AlternateContent>
  <xr:revisionPtr revIDLastSave="0" documentId="13_ncr:1_{AC16F7CE-204B-4958-B621-A7B1AFB7268E}" xr6:coauthVersionLast="36" xr6:coauthVersionMax="47" xr10:uidLastSave="{00000000-0000-0000-0000-000000000000}"/>
  <bookViews>
    <workbookView xWindow="0" yWindow="680" windowWidth="34200" windowHeight="21460" tabRatio="713" firstSheet="3" activeTab="8" xr2:uid="{B7AD1CD4-A9C3-4B73-A9DD-DB2CF1719DDE}"/>
  </bookViews>
  <sheets>
    <sheet name="Summary" sheetId="5" r:id="rId1"/>
    <sheet name="Budget" sheetId="7" r:id="rId2"/>
    <sheet name="Bill of Materials" sheetId="24" r:id="rId3"/>
    <sheet name="Contract Rev.1" sheetId="12" r:id="rId4"/>
    <sheet name="AI Profiles" sheetId="23" r:id="rId5"/>
    <sheet name="Schedule and Progress" sheetId="17" r:id="rId6"/>
    <sheet name="PH1 Marking Notes" sheetId="18" r:id="rId7"/>
    <sheet name="PH2 Marking Notes" sheetId="19" r:id="rId8"/>
    <sheet name="PH3 Marking Notes" sheetId="21" r:id="rId9"/>
  </sheets>
  <definedNames>
    <definedName name="_xlnm._FilterDatabase" localSheetId="5" hidden="1">'Schedule and Progress'!$B$2:$M$199</definedName>
    <definedName name="_xlnm.Print_Area" localSheetId="4">'AI Profiles'!$A$1:$D$19</definedName>
    <definedName name="_xlnm.Print_Area" localSheetId="2">'Bill of Materials'!$A$1:$O$50</definedName>
    <definedName name="_xlnm.Print_Area" localSheetId="1">Budget!$A$1:$L$50</definedName>
    <definedName name="_xlnm.Print_Area" localSheetId="3">'Contract Rev.1'!$A$1:$I$96</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4" i="5" l="1"/>
  <c r="D23" i="5"/>
  <c r="D22" i="5"/>
  <c r="D37" i="21"/>
  <c r="C37" i="21"/>
  <c r="D34" i="19"/>
  <c r="C34" i="19"/>
  <c r="D35" i="21"/>
  <c r="C35" i="21"/>
  <c r="C41" i="21"/>
  <c r="C39" i="21"/>
  <c r="C33" i="21"/>
  <c r="D27" i="21"/>
  <c r="C27" i="21"/>
  <c r="X179" i="17"/>
  <c r="D19" i="21"/>
  <c r="C19" i="21"/>
  <c r="D7" i="21"/>
  <c r="C7" i="21"/>
  <c r="D36" i="19"/>
  <c r="C36" i="19"/>
  <c r="D15" i="19"/>
  <c r="C15" i="19"/>
  <c r="D13" i="19"/>
  <c r="C13" i="19"/>
  <c r="D9" i="19"/>
  <c r="C9" i="19"/>
  <c r="D11" i="19"/>
  <c r="C11" i="19"/>
  <c r="D17" i="19"/>
  <c r="C17" i="19"/>
  <c r="D19" i="19"/>
  <c r="C19" i="19"/>
  <c r="D23" i="19"/>
  <c r="C23" i="19"/>
  <c r="D21" i="19"/>
  <c r="C21" i="19"/>
  <c r="M177" i="17"/>
  <c r="M192" i="17"/>
  <c r="M191" i="17"/>
  <c r="M182" i="17"/>
  <c r="M179" i="17"/>
  <c r="M178" i="17"/>
  <c r="M170" i="17"/>
  <c r="M167" i="17"/>
  <c r="M151" i="17"/>
  <c r="M148" i="17"/>
  <c r="M143" i="17"/>
  <c r="M140" i="17"/>
  <c r="M136" i="17"/>
  <c r="M131" i="17"/>
  <c r="M130" i="17"/>
  <c r="M128" i="17"/>
  <c r="M127" i="17"/>
  <c r="M122" i="17"/>
  <c r="M117" i="17"/>
  <c r="M115" i="17"/>
  <c r="M114" i="17"/>
  <c r="M113" i="17"/>
  <c r="M112" i="17"/>
  <c r="M106" i="17"/>
  <c r="M104" i="17"/>
  <c r="M101" i="17"/>
  <c r="M89" i="17"/>
  <c r="M84" i="17"/>
  <c r="M80" i="17"/>
  <c r="M79" i="17"/>
  <c r="M71" i="17"/>
  <c r="M63" i="17"/>
  <c r="M62" i="17"/>
  <c r="M60" i="17"/>
  <c r="M50" i="17"/>
  <c r="M47" i="17"/>
  <c r="M45" i="17"/>
  <c r="M44" i="17"/>
  <c r="M43" i="17"/>
  <c r="M42" i="17"/>
  <c r="M33" i="17"/>
  <c r="M32" i="17"/>
  <c r="M30" i="17"/>
  <c r="M21" i="17"/>
  <c r="M15" i="17"/>
  <c r="D39" i="18"/>
  <c r="C39" i="18"/>
  <c r="D35" i="18"/>
  <c r="C35" i="18"/>
  <c r="D33" i="18"/>
  <c r="C33" i="18"/>
  <c r="D37" i="18"/>
  <c r="C37" i="18"/>
  <c r="D31" i="18"/>
  <c r="C31" i="18"/>
  <c r="Q55" i="17"/>
  <c r="R55" i="17"/>
  <c r="S55" i="17"/>
  <c r="T55" i="17"/>
  <c r="U55" i="17"/>
  <c r="V55" i="17"/>
  <c r="W55" i="17"/>
  <c r="X55" i="17"/>
  <c r="Y55" i="17"/>
  <c r="Z55" i="17"/>
  <c r="AA55" i="17"/>
  <c r="AB55" i="17"/>
  <c r="AC55" i="17"/>
  <c r="AD55" i="17"/>
  <c r="AE55" i="17"/>
  <c r="D19" i="18"/>
  <c r="C19" i="18"/>
  <c r="D7" i="18"/>
  <c r="C7" i="18"/>
  <c r="D13" i="18"/>
  <c r="C13" i="18"/>
  <c r="D9" i="18"/>
  <c r="C9" i="18"/>
  <c r="D11" i="18"/>
  <c r="C11" i="18"/>
  <c r="D15" i="18"/>
  <c r="C15" i="18"/>
  <c r="D21" i="18"/>
  <c r="C21" i="18"/>
  <c r="X12" i="17"/>
  <c r="Q12" i="17"/>
  <c r="X3" i="17"/>
  <c r="Q3" i="17"/>
  <c r="X11" i="17"/>
  <c r="Q11" i="17"/>
  <c r="X31" i="17"/>
  <c r="Q31" i="17"/>
  <c r="X41" i="17"/>
  <c r="Q41" i="17"/>
  <c r="X61" i="17"/>
  <c r="Q61" i="17"/>
  <c r="X78" i="17"/>
  <c r="Q78" i="17"/>
  <c r="X99" i="17"/>
  <c r="Q99" i="17"/>
  <c r="X100" i="17"/>
  <c r="Q100" i="17"/>
  <c r="X111" i="17"/>
  <c r="Q111" i="17"/>
  <c r="X129" i="17"/>
  <c r="Q129" i="17"/>
  <c r="X139" i="17"/>
  <c r="Q139" i="17"/>
  <c r="X161" i="17"/>
  <c r="Q161" i="17"/>
  <c r="X175" i="17"/>
  <c r="Q175" i="17"/>
  <c r="X193" i="17"/>
  <c r="Q193" i="17"/>
  <c r="X194" i="17"/>
  <c r="Q194" i="17"/>
  <c r="AE190" i="17"/>
  <c r="AD190" i="17"/>
  <c r="AC190" i="17"/>
  <c r="AB190" i="17"/>
  <c r="AA190" i="17"/>
  <c r="Z190" i="17"/>
  <c r="Y190" i="17"/>
  <c r="X190" i="17"/>
  <c r="W190" i="17"/>
  <c r="V190" i="17"/>
  <c r="U190" i="17"/>
  <c r="T190" i="17"/>
  <c r="S190" i="17"/>
  <c r="R190" i="17"/>
  <c r="Q190" i="17"/>
  <c r="AE189" i="17"/>
  <c r="AD189" i="17"/>
  <c r="AC189" i="17"/>
  <c r="AB189" i="17"/>
  <c r="AA189" i="17"/>
  <c r="Z189" i="17"/>
  <c r="Y189" i="17"/>
  <c r="X189" i="17"/>
  <c r="W189" i="17"/>
  <c r="V189" i="17"/>
  <c r="U189" i="17"/>
  <c r="T189" i="17"/>
  <c r="S189" i="17"/>
  <c r="R189" i="17"/>
  <c r="Q189" i="17"/>
  <c r="AE188" i="17"/>
  <c r="AD188" i="17"/>
  <c r="AC188" i="17"/>
  <c r="AB188" i="17"/>
  <c r="AA188" i="17"/>
  <c r="Z188" i="17"/>
  <c r="Y188" i="17"/>
  <c r="X188" i="17"/>
  <c r="W188" i="17"/>
  <c r="V188" i="17"/>
  <c r="U188" i="17"/>
  <c r="T188" i="17"/>
  <c r="S188" i="17"/>
  <c r="R188" i="17"/>
  <c r="Q188" i="17"/>
  <c r="AE187" i="17"/>
  <c r="AD187" i="17"/>
  <c r="AC187" i="17"/>
  <c r="AB187" i="17"/>
  <c r="AA187" i="17"/>
  <c r="Z187" i="17"/>
  <c r="Y187" i="17"/>
  <c r="X187" i="17"/>
  <c r="W187" i="17"/>
  <c r="V187" i="17"/>
  <c r="U187" i="17"/>
  <c r="T187" i="17"/>
  <c r="S187" i="17"/>
  <c r="R187" i="17"/>
  <c r="Q187" i="17"/>
  <c r="AE186" i="17"/>
  <c r="AD186" i="17"/>
  <c r="AC186" i="17"/>
  <c r="AB186" i="17"/>
  <c r="AA186" i="17"/>
  <c r="Z186" i="17"/>
  <c r="Y186" i="17"/>
  <c r="X186" i="17"/>
  <c r="W186" i="17"/>
  <c r="V186" i="17"/>
  <c r="U186" i="17"/>
  <c r="T186" i="17"/>
  <c r="S186" i="17"/>
  <c r="R186" i="17"/>
  <c r="Q186" i="17"/>
  <c r="AE185" i="17"/>
  <c r="AD185" i="17"/>
  <c r="AC185" i="17"/>
  <c r="AB185" i="17"/>
  <c r="AA185" i="17"/>
  <c r="Z185" i="17"/>
  <c r="Y185" i="17"/>
  <c r="X185" i="17"/>
  <c r="W185" i="17"/>
  <c r="V185" i="17"/>
  <c r="U185" i="17"/>
  <c r="T185" i="17"/>
  <c r="S185" i="17"/>
  <c r="R185" i="17"/>
  <c r="Q185" i="17"/>
  <c r="AE184" i="17"/>
  <c r="AD184" i="17"/>
  <c r="AC184" i="17"/>
  <c r="AB184" i="17"/>
  <c r="AA184" i="17"/>
  <c r="Z184" i="17"/>
  <c r="Y184" i="17"/>
  <c r="X184" i="17"/>
  <c r="W184" i="17"/>
  <c r="V184" i="17"/>
  <c r="U184" i="17"/>
  <c r="T184" i="17"/>
  <c r="S184" i="17"/>
  <c r="R184" i="17"/>
  <c r="Q184" i="17"/>
  <c r="AE183" i="17"/>
  <c r="AD183" i="17"/>
  <c r="AC183" i="17"/>
  <c r="AB183" i="17"/>
  <c r="AA183" i="17"/>
  <c r="Z183" i="17"/>
  <c r="Y183" i="17"/>
  <c r="X183" i="17"/>
  <c r="W183" i="17"/>
  <c r="V183" i="17"/>
  <c r="U183" i="17"/>
  <c r="T183" i="17"/>
  <c r="S183" i="17"/>
  <c r="R183" i="17"/>
  <c r="Q183" i="17"/>
  <c r="Q179" i="17"/>
  <c r="AE174" i="17"/>
  <c r="AD174" i="17"/>
  <c r="AC174" i="17"/>
  <c r="AB174" i="17"/>
  <c r="AA174" i="17"/>
  <c r="Z174" i="17"/>
  <c r="Y174" i="17"/>
  <c r="X174" i="17"/>
  <c r="W174" i="17"/>
  <c r="V174" i="17"/>
  <c r="U174" i="17"/>
  <c r="T174" i="17"/>
  <c r="S174" i="17"/>
  <c r="R174" i="17"/>
  <c r="Q174" i="17"/>
  <c r="AE173" i="17"/>
  <c r="AD173" i="17"/>
  <c r="AC173" i="17"/>
  <c r="AB173" i="17"/>
  <c r="AA173" i="17"/>
  <c r="Z173" i="17"/>
  <c r="Y173" i="17"/>
  <c r="X173" i="17"/>
  <c r="W173" i="17"/>
  <c r="V173" i="17"/>
  <c r="U173" i="17"/>
  <c r="T173" i="17"/>
  <c r="S173" i="17"/>
  <c r="R173" i="17"/>
  <c r="Q173" i="17"/>
  <c r="AE172" i="17"/>
  <c r="AD172" i="17"/>
  <c r="AC172" i="17"/>
  <c r="AB172" i="17"/>
  <c r="AA172" i="17"/>
  <c r="Z172" i="17"/>
  <c r="Y172" i="17"/>
  <c r="X172" i="17"/>
  <c r="W172" i="17"/>
  <c r="V172" i="17"/>
  <c r="U172" i="17"/>
  <c r="T172" i="17"/>
  <c r="S172" i="17"/>
  <c r="R172" i="17"/>
  <c r="Q172" i="17"/>
  <c r="AE171" i="17"/>
  <c r="AD171" i="17"/>
  <c r="AC171" i="17"/>
  <c r="AB171" i="17"/>
  <c r="AA171" i="17"/>
  <c r="Z171" i="17"/>
  <c r="Y171" i="17"/>
  <c r="X171" i="17"/>
  <c r="W171" i="17"/>
  <c r="V171" i="17"/>
  <c r="U171" i="17"/>
  <c r="T171" i="17"/>
  <c r="S171" i="17"/>
  <c r="R171" i="17"/>
  <c r="Q171" i="17"/>
  <c r="AE169" i="17"/>
  <c r="AD169" i="17"/>
  <c r="AC169" i="17"/>
  <c r="AB169" i="17"/>
  <c r="AA169" i="17"/>
  <c r="Z169" i="17"/>
  <c r="Y169" i="17"/>
  <c r="X169" i="17"/>
  <c r="W169" i="17"/>
  <c r="V169" i="17"/>
  <c r="U169" i="17"/>
  <c r="T169" i="17"/>
  <c r="S169" i="17"/>
  <c r="R169" i="17"/>
  <c r="Q169" i="17"/>
  <c r="AE168" i="17"/>
  <c r="AD168" i="17"/>
  <c r="AC168" i="17"/>
  <c r="AB168" i="17"/>
  <c r="AA168" i="17"/>
  <c r="Z168" i="17"/>
  <c r="Y168" i="17"/>
  <c r="X168" i="17"/>
  <c r="W168" i="17"/>
  <c r="V168" i="17"/>
  <c r="U168" i="17"/>
  <c r="T168" i="17"/>
  <c r="S168" i="17"/>
  <c r="R168" i="17"/>
  <c r="Q168" i="17"/>
  <c r="AE166" i="17"/>
  <c r="AD166" i="17"/>
  <c r="AC166" i="17"/>
  <c r="AB166" i="17"/>
  <c r="AA166" i="17"/>
  <c r="Z166" i="17"/>
  <c r="Y166" i="17"/>
  <c r="X166" i="17"/>
  <c r="W166" i="17"/>
  <c r="V166" i="17"/>
  <c r="U166" i="17"/>
  <c r="T166" i="17"/>
  <c r="S166" i="17"/>
  <c r="R166" i="17"/>
  <c r="Q166" i="17"/>
  <c r="AE165" i="17"/>
  <c r="AD165" i="17"/>
  <c r="AC165" i="17"/>
  <c r="AB165" i="17"/>
  <c r="AA165" i="17"/>
  <c r="Z165" i="17"/>
  <c r="Y165" i="17"/>
  <c r="X165" i="17"/>
  <c r="W165" i="17"/>
  <c r="V165" i="17"/>
  <c r="U165" i="17"/>
  <c r="T165" i="17"/>
  <c r="S165" i="17"/>
  <c r="R165" i="17"/>
  <c r="Q165" i="17"/>
  <c r="AE164" i="17"/>
  <c r="AD164" i="17"/>
  <c r="AC164" i="17"/>
  <c r="AB164" i="17"/>
  <c r="AA164" i="17"/>
  <c r="Z164" i="17"/>
  <c r="Y164" i="17"/>
  <c r="X164" i="17"/>
  <c r="W164" i="17"/>
  <c r="V164" i="17"/>
  <c r="U164" i="17"/>
  <c r="T164" i="17"/>
  <c r="S164" i="17"/>
  <c r="R164" i="17"/>
  <c r="Q164" i="17"/>
  <c r="AE163" i="17"/>
  <c r="AD163" i="17"/>
  <c r="AC163" i="17"/>
  <c r="AB163" i="17"/>
  <c r="AA163" i="17"/>
  <c r="Z163" i="17"/>
  <c r="Y163" i="17"/>
  <c r="X163" i="17"/>
  <c r="W163" i="17"/>
  <c r="V163" i="17"/>
  <c r="U163" i="17"/>
  <c r="T163" i="17"/>
  <c r="S163" i="17"/>
  <c r="R163" i="17"/>
  <c r="Q163" i="17"/>
  <c r="AE160" i="17"/>
  <c r="AD160" i="17"/>
  <c r="AC160" i="17"/>
  <c r="AB160" i="17"/>
  <c r="AA160" i="17"/>
  <c r="Z160" i="17"/>
  <c r="Y160" i="17"/>
  <c r="X160" i="17"/>
  <c r="W160" i="17"/>
  <c r="V160" i="17"/>
  <c r="U160" i="17"/>
  <c r="T160" i="17"/>
  <c r="S160" i="17"/>
  <c r="R160" i="17"/>
  <c r="Q160" i="17"/>
  <c r="AE159" i="17"/>
  <c r="AD159" i="17"/>
  <c r="AC159" i="17"/>
  <c r="AB159" i="17"/>
  <c r="AA159" i="17"/>
  <c r="Z159" i="17"/>
  <c r="Y159" i="17"/>
  <c r="X159" i="17"/>
  <c r="W159" i="17"/>
  <c r="V159" i="17"/>
  <c r="U159" i="17"/>
  <c r="T159" i="17"/>
  <c r="S159" i="17"/>
  <c r="R159" i="17"/>
  <c r="Q159" i="17"/>
  <c r="AE158" i="17"/>
  <c r="AD158" i="17"/>
  <c r="AC158" i="17"/>
  <c r="AB158" i="17"/>
  <c r="AA158" i="17"/>
  <c r="Z158" i="17"/>
  <c r="Y158" i="17"/>
  <c r="X158" i="17"/>
  <c r="W158" i="17"/>
  <c r="V158" i="17"/>
  <c r="U158" i="17"/>
  <c r="T158" i="17"/>
  <c r="S158" i="17"/>
  <c r="R158" i="17"/>
  <c r="Q158" i="17"/>
  <c r="AE157" i="17"/>
  <c r="AD157" i="17"/>
  <c r="AC157" i="17"/>
  <c r="AB157" i="17"/>
  <c r="AA157" i="17"/>
  <c r="Z157" i="17"/>
  <c r="Y157" i="17"/>
  <c r="X157" i="17"/>
  <c r="W157" i="17"/>
  <c r="V157" i="17"/>
  <c r="U157" i="17"/>
  <c r="T157" i="17"/>
  <c r="S157" i="17"/>
  <c r="R157" i="17"/>
  <c r="Q157" i="17"/>
  <c r="AE156" i="17"/>
  <c r="AD156" i="17"/>
  <c r="AC156" i="17"/>
  <c r="AB156" i="17"/>
  <c r="AA156" i="17"/>
  <c r="Z156" i="17"/>
  <c r="Y156" i="17"/>
  <c r="X156" i="17"/>
  <c r="W156" i="17"/>
  <c r="V156" i="17"/>
  <c r="U156" i="17"/>
  <c r="T156" i="17"/>
  <c r="S156" i="17"/>
  <c r="R156" i="17"/>
  <c r="Q156" i="17"/>
  <c r="AE155" i="17"/>
  <c r="AD155" i="17"/>
  <c r="AC155" i="17"/>
  <c r="AB155" i="17"/>
  <c r="AA155" i="17"/>
  <c r="Z155" i="17"/>
  <c r="Y155" i="17"/>
  <c r="X155" i="17"/>
  <c r="W155" i="17"/>
  <c r="V155" i="17"/>
  <c r="U155" i="17"/>
  <c r="T155" i="17"/>
  <c r="S155" i="17"/>
  <c r="R155" i="17"/>
  <c r="Q155" i="17"/>
  <c r="AE154" i="17"/>
  <c r="AD154" i="17"/>
  <c r="AC154" i="17"/>
  <c r="AB154" i="17"/>
  <c r="AA154" i="17"/>
  <c r="Z154" i="17"/>
  <c r="Y154" i="17"/>
  <c r="X154" i="17"/>
  <c r="W154" i="17"/>
  <c r="V154" i="17"/>
  <c r="U154" i="17"/>
  <c r="T154" i="17"/>
  <c r="S154" i="17"/>
  <c r="R154" i="17"/>
  <c r="Q154" i="17"/>
  <c r="AE153" i="17"/>
  <c r="AD153" i="17"/>
  <c r="AC153" i="17"/>
  <c r="AB153" i="17"/>
  <c r="AA153" i="17"/>
  <c r="Z153" i="17"/>
  <c r="Y153" i="17"/>
  <c r="X153" i="17"/>
  <c r="W153" i="17"/>
  <c r="V153" i="17"/>
  <c r="U153" i="17"/>
  <c r="T153" i="17"/>
  <c r="S153" i="17"/>
  <c r="R153" i="17"/>
  <c r="Q153" i="17"/>
  <c r="AE152" i="17"/>
  <c r="AD152" i="17"/>
  <c r="AC152" i="17"/>
  <c r="AB152" i="17"/>
  <c r="AA152" i="17"/>
  <c r="Z152" i="17"/>
  <c r="Y152" i="17"/>
  <c r="X152" i="17"/>
  <c r="W152" i="17"/>
  <c r="V152" i="17"/>
  <c r="U152" i="17"/>
  <c r="T152" i="17"/>
  <c r="S152" i="17"/>
  <c r="R152" i="17"/>
  <c r="Q152" i="17"/>
  <c r="AE150" i="17"/>
  <c r="AD150" i="17"/>
  <c r="AC150" i="17"/>
  <c r="AB150" i="17"/>
  <c r="AA150" i="17"/>
  <c r="Z150" i="17"/>
  <c r="Y150" i="17"/>
  <c r="X150" i="17"/>
  <c r="W150" i="17"/>
  <c r="V150" i="17"/>
  <c r="U150" i="17"/>
  <c r="T150" i="17"/>
  <c r="S150" i="17"/>
  <c r="R150" i="17"/>
  <c r="Q150" i="17"/>
  <c r="AE149" i="17"/>
  <c r="AD149" i="17"/>
  <c r="AC149" i="17"/>
  <c r="AB149" i="17"/>
  <c r="AA149" i="17"/>
  <c r="Z149" i="17"/>
  <c r="Y149" i="17"/>
  <c r="X149" i="17"/>
  <c r="W149" i="17"/>
  <c r="V149" i="17"/>
  <c r="U149" i="17"/>
  <c r="T149" i="17"/>
  <c r="S149" i="17"/>
  <c r="R149" i="17"/>
  <c r="Q149" i="17"/>
  <c r="AE147" i="17"/>
  <c r="AD147" i="17"/>
  <c r="AC147" i="17"/>
  <c r="AB147" i="17"/>
  <c r="AA147" i="17"/>
  <c r="Z147" i="17"/>
  <c r="Y147" i="17"/>
  <c r="X147" i="17"/>
  <c r="W147" i="17"/>
  <c r="V147" i="17"/>
  <c r="U147" i="17"/>
  <c r="T147" i="17"/>
  <c r="S147" i="17"/>
  <c r="R147" i="17"/>
  <c r="Q147" i="17"/>
  <c r="AE146" i="17"/>
  <c r="AD146" i="17"/>
  <c r="AC146" i="17"/>
  <c r="AB146" i="17"/>
  <c r="AA146" i="17"/>
  <c r="Z146" i="17"/>
  <c r="Y146" i="17"/>
  <c r="X146" i="17"/>
  <c r="W146" i="17"/>
  <c r="V146" i="17"/>
  <c r="U146" i="17"/>
  <c r="T146" i="17"/>
  <c r="S146" i="17"/>
  <c r="R146" i="17"/>
  <c r="Q146" i="17"/>
  <c r="AE145" i="17"/>
  <c r="AD145" i="17"/>
  <c r="AC145" i="17"/>
  <c r="AB145" i="17"/>
  <c r="AA145" i="17"/>
  <c r="Z145" i="17"/>
  <c r="Y145" i="17"/>
  <c r="X145" i="17"/>
  <c r="W145" i="17"/>
  <c r="V145" i="17"/>
  <c r="U145" i="17"/>
  <c r="T145" i="17"/>
  <c r="S145" i="17"/>
  <c r="R145" i="17"/>
  <c r="Q145" i="17"/>
  <c r="AE144" i="17"/>
  <c r="AD144" i="17"/>
  <c r="AC144" i="17"/>
  <c r="AB144" i="17"/>
  <c r="AA144" i="17"/>
  <c r="Z144" i="17"/>
  <c r="Y144" i="17"/>
  <c r="X144" i="17"/>
  <c r="W144" i="17"/>
  <c r="V144" i="17"/>
  <c r="U144" i="17"/>
  <c r="T144" i="17"/>
  <c r="S144" i="17"/>
  <c r="R144" i="17"/>
  <c r="Q144" i="17"/>
  <c r="AE142" i="17"/>
  <c r="AD142" i="17"/>
  <c r="AC142" i="17"/>
  <c r="AB142" i="17"/>
  <c r="AA142" i="17"/>
  <c r="Z142" i="17"/>
  <c r="Y142" i="17"/>
  <c r="X142" i="17"/>
  <c r="W142" i="17"/>
  <c r="V142" i="17"/>
  <c r="U142" i="17"/>
  <c r="T142" i="17"/>
  <c r="S142" i="17"/>
  <c r="R142" i="17"/>
  <c r="Q142" i="17"/>
  <c r="AE141" i="17"/>
  <c r="AD141" i="17"/>
  <c r="AC141" i="17"/>
  <c r="AB141" i="17"/>
  <c r="AA141" i="17"/>
  <c r="Z141" i="17"/>
  <c r="Y141" i="17"/>
  <c r="X141" i="17"/>
  <c r="W141" i="17"/>
  <c r="V141" i="17"/>
  <c r="U141" i="17"/>
  <c r="T141" i="17"/>
  <c r="S141" i="17"/>
  <c r="R141" i="17"/>
  <c r="Q141" i="17"/>
  <c r="AE138" i="17"/>
  <c r="AD138" i="17"/>
  <c r="AC138" i="17"/>
  <c r="AB138" i="17"/>
  <c r="AA138" i="17"/>
  <c r="Z138" i="17"/>
  <c r="Y138" i="17"/>
  <c r="X138" i="17"/>
  <c r="W138" i="17"/>
  <c r="V138" i="17"/>
  <c r="U138" i="17"/>
  <c r="T138" i="17"/>
  <c r="S138" i="17"/>
  <c r="R138" i="17"/>
  <c r="Q138" i="17"/>
  <c r="AE137" i="17"/>
  <c r="AD137" i="17"/>
  <c r="AC137" i="17"/>
  <c r="AB137" i="17"/>
  <c r="AA137" i="17"/>
  <c r="Z137" i="17"/>
  <c r="Y137" i="17"/>
  <c r="X137" i="17"/>
  <c r="W137" i="17"/>
  <c r="V137" i="17"/>
  <c r="U137" i="17"/>
  <c r="T137" i="17"/>
  <c r="S137" i="17"/>
  <c r="R137" i="17"/>
  <c r="Q137" i="17"/>
  <c r="AE135" i="17"/>
  <c r="AD135" i="17"/>
  <c r="AC135" i="17"/>
  <c r="AB135" i="17"/>
  <c r="AA135" i="17"/>
  <c r="Z135" i="17"/>
  <c r="Y135" i="17"/>
  <c r="X135" i="17"/>
  <c r="W135" i="17"/>
  <c r="V135" i="17"/>
  <c r="U135" i="17"/>
  <c r="T135" i="17"/>
  <c r="S135" i="17"/>
  <c r="R135" i="17"/>
  <c r="Q135" i="17"/>
  <c r="AE134" i="17"/>
  <c r="AD134" i="17"/>
  <c r="AC134" i="17"/>
  <c r="AB134" i="17"/>
  <c r="AA134" i="17"/>
  <c r="Z134" i="17"/>
  <c r="Y134" i="17"/>
  <c r="X134" i="17"/>
  <c r="W134" i="17"/>
  <c r="V134" i="17"/>
  <c r="U134" i="17"/>
  <c r="T134" i="17"/>
  <c r="S134" i="17"/>
  <c r="R134" i="17"/>
  <c r="Q134" i="17"/>
  <c r="AE133" i="17"/>
  <c r="AD133" i="17"/>
  <c r="AC133" i="17"/>
  <c r="AB133" i="17"/>
  <c r="AA133" i="17"/>
  <c r="Z133" i="17"/>
  <c r="Y133" i="17"/>
  <c r="X133" i="17"/>
  <c r="W133" i="17"/>
  <c r="V133" i="17"/>
  <c r="U133" i="17"/>
  <c r="T133" i="17"/>
  <c r="S133" i="17"/>
  <c r="R133" i="17"/>
  <c r="Q133" i="17"/>
  <c r="AE132" i="17"/>
  <c r="AD132" i="17"/>
  <c r="AC132" i="17"/>
  <c r="AB132" i="17"/>
  <c r="AA132" i="17"/>
  <c r="Z132" i="17"/>
  <c r="Y132" i="17"/>
  <c r="X132" i="17"/>
  <c r="W132" i="17"/>
  <c r="V132" i="17"/>
  <c r="U132" i="17"/>
  <c r="T132" i="17"/>
  <c r="S132" i="17"/>
  <c r="R132" i="17"/>
  <c r="Q132" i="17"/>
  <c r="AE126" i="17"/>
  <c r="AD126" i="17"/>
  <c r="AC126" i="17"/>
  <c r="AB126" i="17"/>
  <c r="AA126" i="17"/>
  <c r="Z126" i="17"/>
  <c r="Y126" i="17"/>
  <c r="X126" i="17"/>
  <c r="W126" i="17"/>
  <c r="V126" i="17"/>
  <c r="U126" i="17"/>
  <c r="T126" i="17"/>
  <c r="S126" i="17"/>
  <c r="R126" i="17"/>
  <c r="Q126" i="17"/>
  <c r="AE125" i="17"/>
  <c r="AD125" i="17"/>
  <c r="AC125" i="17"/>
  <c r="AB125" i="17"/>
  <c r="AA125" i="17"/>
  <c r="Z125" i="17"/>
  <c r="Y125" i="17"/>
  <c r="X125" i="17"/>
  <c r="W125" i="17"/>
  <c r="V125" i="17"/>
  <c r="U125" i="17"/>
  <c r="T125" i="17"/>
  <c r="S125" i="17"/>
  <c r="R125" i="17"/>
  <c r="Q125" i="17"/>
  <c r="AE124" i="17"/>
  <c r="AD124" i="17"/>
  <c r="AC124" i="17"/>
  <c r="AB124" i="17"/>
  <c r="AA124" i="17"/>
  <c r="Z124" i="17"/>
  <c r="Y124" i="17"/>
  <c r="X124" i="17"/>
  <c r="W124" i="17"/>
  <c r="V124" i="17"/>
  <c r="U124" i="17"/>
  <c r="T124" i="17"/>
  <c r="S124" i="17"/>
  <c r="R124" i="17"/>
  <c r="Q124" i="17"/>
  <c r="AE123" i="17"/>
  <c r="AD123" i="17"/>
  <c r="AC123" i="17"/>
  <c r="AB123" i="17"/>
  <c r="AA123" i="17"/>
  <c r="Z123" i="17"/>
  <c r="Y123" i="17"/>
  <c r="X123" i="17"/>
  <c r="W123" i="17"/>
  <c r="V123" i="17"/>
  <c r="U123" i="17"/>
  <c r="T123" i="17"/>
  <c r="S123" i="17"/>
  <c r="R123" i="17"/>
  <c r="Q123" i="17"/>
  <c r="AE121" i="17"/>
  <c r="AD121" i="17"/>
  <c r="AC121" i="17"/>
  <c r="AB121" i="17"/>
  <c r="AA121" i="17"/>
  <c r="Z121" i="17"/>
  <c r="Y121" i="17"/>
  <c r="X121" i="17"/>
  <c r="W121" i="17"/>
  <c r="V121" i="17"/>
  <c r="U121" i="17"/>
  <c r="T121" i="17"/>
  <c r="S121" i="17"/>
  <c r="R121" i="17"/>
  <c r="Q121" i="17"/>
  <c r="AE120" i="17"/>
  <c r="AD120" i="17"/>
  <c r="AC120" i="17"/>
  <c r="AB120" i="17"/>
  <c r="AA120" i="17"/>
  <c r="Z120" i="17"/>
  <c r="Y120" i="17"/>
  <c r="X120" i="17"/>
  <c r="W120" i="17"/>
  <c r="V120" i="17"/>
  <c r="U120" i="17"/>
  <c r="T120" i="17"/>
  <c r="S120" i="17"/>
  <c r="R120" i="17"/>
  <c r="Q120" i="17"/>
  <c r="AE119" i="17"/>
  <c r="AD119" i="17"/>
  <c r="AC119" i="17"/>
  <c r="AB119" i="17"/>
  <c r="AA119" i="17"/>
  <c r="Z119" i="17"/>
  <c r="Y119" i="17"/>
  <c r="X119" i="17"/>
  <c r="W119" i="17"/>
  <c r="V119" i="17"/>
  <c r="U119" i="17"/>
  <c r="T119" i="17"/>
  <c r="S119" i="17"/>
  <c r="R119" i="17"/>
  <c r="Q119" i="17"/>
  <c r="AE118" i="17"/>
  <c r="AD118" i="17"/>
  <c r="AC118" i="17"/>
  <c r="AB118" i="17"/>
  <c r="AA118" i="17"/>
  <c r="Z118" i="17"/>
  <c r="Y118" i="17"/>
  <c r="X118" i="17"/>
  <c r="W118" i="17"/>
  <c r="V118" i="17"/>
  <c r="U118" i="17"/>
  <c r="T118" i="17"/>
  <c r="S118" i="17"/>
  <c r="R118" i="17"/>
  <c r="Q118" i="17"/>
  <c r="AE116" i="17"/>
  <c r="AD116" i="17"/>
  <c r="AC116" i="17"/>
  <c r="AB116" i="17"/>
  <c r="AA116" i="17"/>
  <c r="Z116" i="17"/>
  <c r="Y116" i="17"/>
  <c r="X116" i="17"/>
  <c r="W116" i="17"/>
  <c r="V116" i="17"/>
  <c r="U116" i="17"/>
  <c r="T116" i="17"/>
  <c r="S116" i="17"/>
  <c r="R116" i="17"/>
  <c r="Q116" i="17"/>
  <c r="AE110" i="17"/>
  <c r="AD110" i="17"/>
  <c r="AC110" i="17"/>
  <c r="AB110" i="17"/>
  <c r="AA110" i="17"/>
  <c r="Z110" i="17"/>
  <c r="Y110" i="17"/>
  <c r="X110" i="17"/>
  <c r="W110" i="17"/>
  <c r="V110" i="17"/>
  <c r="U110" i="17"/>
  <c r="T110" i="17"/>
  <c r="S110" i="17"/>
  <c r="R110" i="17"/>
  <c r="Q110" i="17"/>
  <c r="AE109" i="17"/>
  <c r="AD109" i="17"/>
  <c r="AC109" i="17"/>
  <c r="AB109" i="17"/>
  <c r="AA109" i="17"/>
  <c r="Z109" i="17"/>
  <c r="Y109" i="17"/>
  <c r="X109" i="17"/>
  <c r="W109" i="17"/>
  <c r="V109" i="17"/>
  <c r="U109" i="17"/>
  <c r="T109" i="17"/>
  <c r="S109" i="17"/>
  <c r="R109" i="17"/>
  <c r="Q109" i="17"/>
  <c r="AE108" i="17"/>
  <c r="AD108" i="17"/>
  <c r="AC108" i="17"/>
  <c r="AB108" i="17"/>
  <c r="AA108" i="17"/>
  <c r="Z108" i="17"/>
  <c r="Y108" i="17"/>
  <c r="X108" i="17"/>
  <c r="W108" i="17"/>
  <c r="V108" i="17"/>
  <c r="U108" i="17"/>
  <c r="T108" i="17"/>
  <c r="S108" i="17"/>
  <c r="R108" i="17"/>
  <c r="Q108" i="17"/>
  <c r="AE107" i="17"/>
  <c r="AD107" i="17"/>
  <c r="AC107" i="17"/>
  <c r="AB107" i="17"/>
  <c r="AA107" i="17"/>
  <c r="Z107" i="17"/>
  <c r="Y107" i="17"/>
  <c r="X107" i="17"/>
  <c r="W107" i="17"/>
  <c r="V107" i="17"/>
  <c r="U107" i="17"/>
  <c r="T107" i="17"/>
  <c r="S107" i="17"/>
  <c r="R107" i="17"/>
  <c r="Q107" i="17"/>
  <c r="AE105" i="17"/>
  <c r="AD105" i="17"/>
  <c r="AC105" i="17"/>
  <c r="AB105" i="17"/>
  <c r="AA105" i="17"/>
  <c r="Z105" i="17"/>
  <c r="Y105" i="17"/>
  <c r="X105" i="17"/>
  <c r="W105" i="17"/>
  <c r="V105" i="17"/>
  <c r="U105" i="17"/>
  <c r="T105" i="17"/>
  <c r="S105" i="17"/>
  <c r="R105" i="17"/>
  <c r="Q105" i="17"/>
  <c r="AE103" i="17"/>
  <c r="AD103" i="17"/>
  <c r="AC103" i="17"/>
  <c r="AB103" i="17"/>
  <c r="AA103" i="17"/>
  <c r="Z103" i="17"/>
  <c r="Y103" i="17"/>
  <c r="X103" i="17"/>
  <c r="W103" i="17"/>
  <c r="V103" i="17"/>
  <c r="U103" i="17"/>
  <c r="T103" i="17"/>
  <c r="S103" i="17"/>
  <c r="R103" i="17"/>
  <c r="Q103" i="17"/>
  <c r="AE102" i="17"/>
  <c r="AD102" i="17"/>
  <c r="AC102" i="17"/>
  <c r="AB102" i="17"/>
  <c r="AA102" i="17"/>
  <c r="Z102" i="17"/>
  <c r="Y102" i="17"/>
  <c r="X102" i="17"/>
  <c r="W102" i="17"/>
  <c r="V102" i="17"/>
  <c r="U102" i="17"/>
  <c r="T102" i="17"/>
  <c r="S102" i="17"/>
  <c r="R102" i="17"/>
  <c r="Q102" i="17"/>
  <c r="AE98" i="17"/>
  <c r="AD98" i="17"/>
  <c r="AC98" i="17"/>
  <c r="AB98" i="17"/>
  <c r="AA98" i="17"/>
  <c r="Z98" i="17"/>
  <c r="Y98" i="17"/>
  <c r="X98" i="17"/>
  <c r="W98" i="17"/>
  <c r="V98" i="17"/>
  <c r="U98" i="17"/>
  <c r="T98" i="17"/>
  <c r="S98" i="17"/>
  <c r="R98" i="17"/>
  <c r="Q98" i="17"/>
  <c r="AE97" i="17"/>
  <c r="AD97" i="17"/>
  <c r="AC97" i="17"/>
  <c r="AB97" i="17"/>
  <c r="AA97" i="17"/>
  <c r="Z97" i="17"/>
  <c r="Y97" i="17"/>
  <c r="X97" i="17"/>
  <c r="W97" i="17"/>
  <c r="V97" i="17"/>
  <c r="U97" i="17"/>
  <c r="T97" i="17"/>
  <c r="S97" i="17"/>
  <c r="R97" i="17"/>
  <c r="Q97" i="17"/>
  <c r="AE96" i="17"/>
  <c r="AD96" i="17"/>
  <c r="AC96" i="17"/>
  <c r="AB96" i="17"/>
  <c r="AA96" i="17"/>
  <c r="Z96" i="17"/>
  <c r="Y96" i="17"/>
  <c r="X96" i="17"/>
  <c r="W96" i="17"/>
  <c r="V96" i="17"/>
  <c r="U96" i="17"/>
  <c r="T96" i="17"/>
  <c r="S96" i="17"/>
  <c r="R96" i="17"/>
  <c r="Q96" i="17"/>
  <c r="AE95" i="17"/>
  <c r="AD95" i="17"/>
  <c r="AC95" i="17"/>
  <c r="AB95" i="17"/>
  <c r="AA95" i="17"/>
  <c r="Z95" i="17"/>
  <c r="Y95" i="17"/>
  <c r="X95" i="17"/>
  <c r="W95" i="17"/>
  <c r="V95" i="17"/>
  <c r="U95" i="17"/>
  <c r="T95" i="17"/>
  <c r="S95" i="17"/>
  <c r="R95" i="17"/>
  <c r="Q95" i="17"/>
  <c r="AE94" i="17"/>
  <c r="AD94" i="17"/>
  <c r="AC94" i="17"/>
  <c r="AB94" i="17"/>
  <c r="AA94" i="17"/>
  <c r="Z94" i="17"/>
  <c r="Y94" i="17"/>
  <c r="X94" i="17"/>
  <c r="W94" i="17"/>
  <c r="V94" i="17"/>
  <c r="U94" i="17"/>
  <c r="T94" i="17"/>
  <c r="S94" i="17"/>
  <c r="R94" i="17"/>
  <c r="Q94" i="17"/>
  <c r="AE93" i="17"/>
  <c r="AD93" i="17"/>
  <c r="AC93" i="17"/>
  <c r="AB93" i="17"/>
  <c r="AA93" i="17"/>
  <c r="Z93" i="17"/>
  <c r="Y93" i="17"/>
  <c r="X93" i="17"/>
  <c r="W93" i="17"/>
  <c r="V93" i="17"/>
  <c r="U93" i="17"/>
  <c r="T93" i="17"/>
  <c r="S93" i="17"/>
  <c r="R93" i="17"/>
  <c r="Q93" i="17"/>
  <c r="AE92" i="17"/>
  <c r="AD92" i="17"/>
  <c r="AC92" i="17"/>
  <c r="AB92" i="17"/>
  <c r="AA92" i="17"/>
  <c r="Z92" i="17"/>
  <c r="Y92" i="17"/>
  <c r="X92" i="17"/>
  <c r="W92" i="17"/>
  <c r="V92" i="17"/>
  <c r="U92" i="17"/>
  <c r="T92" i="17"/>
  <c r="S92" i="17"/>
  <c r="R92" i="17"/>
  <c r="Q92" i="17"/>
  <c r="AE91" i="17"/>
  <c r="AD91" i="17"/>
  <c r="AC91" i="17"/>
  <c r="AB91" i="17"/>
  <c r="AA91" i="17"/>
  <c r="Z91" i="17"/>
  <c r="Y91" i="17"/>
  <c r="X91" i="17"/>
  <c r="W91" i="17"/>
  <c r="V91" i="17"/>
  <c r="U91" i="17"/>
  <c r="T91" i="17"/>
  <c r="S91" i="17"/>
  <c r="R91" i="17"/>
  <c r="Q91" i="17"/>
  <c r="AE90" i="17"/>
  <c r="AD90" i="17"/>
  <c r="AC90" i="17"/>
  <c r="AB90" i="17"/>
  <c r="AA90" i="17"/>
  <c r="Z90" i="17"/>
  <c r="Y90" i="17"/>
  <c r="X90" i="17"/>
  <c r="W90" i="17"/>
  <c r="V90" i="17"/>
  <c r="U90" i="17"/>
  <c r="T90" i="17"/>
  <c r="S90" i="17"/>
  <c r="R90" i="17"/>
  <c r="Q90" i="17"/>
  <c r="AE88" i="17"/>
  <c r="AD88" i="17"/>
  <c r="AC88" i="17"/>
  <c r="AB88" i="17"/>
  <c r="AA88" i="17"/>
  <c r="Z88" i="17"/>
  <c r="Y88" i="17"/>
  <c r="X88" i="17"/>
  <c r="W88" i="17"/>
  <c r="V88" i="17"/>
  <c r="U88" i="17"/>
  <c r="T88" i="17"/>
  <c r="S88" i="17"/>
  <c r="R88" i="17"/>
  <c r="Q88" i="17"/>
  <c r="AE87" i="17"/>
  <c r="AD87" i="17"/>
  <c r="AC87" i="17"/>
  <c r="AB87" i="17"/>
  <c r="AA87" i="17"/>
  <c r="Z87" i="17"/>
  <c r="Y87" i="17"/>
  <c r="X87" i="17"/>
  <c r="W87" i="17"/>
  <c r="V87" i="17"/>
  <c r="U87" i="17"/>
  <c r="T87" i="17"/>
  <c r="S87" i="17"/>
  <c r="R87" i="17"/>
  <c r="Q87" i="17"/>
  <c r="AE86" i="17"/>
  <c r="AD86" i="17"/>
  <c r="AC86" i="17"/>
  <c r="AB86" i="17"/>
  <c r="AA86" i="17"/>
  <c r="Z86" i="17"/>
  <c r="Y86" i="17"/>
  <c r="X86" i="17"/>
  <c r="W86" i="17"/>
  <c r="V86" i="17"/>
  <c r="U86" i="17"/>
  <c r="T86" i="17"/>
  <c r="S86" i="17"/>
  <c r="R86" i="17"/>
  <c r="Q86" i="17"/>
  <c r="AE85" i="17"/>
  <c r="AD85" i="17"/>
  <c r="AC85" i="17"/>
  <c r="AB85" i="17"/>
  <c r="AA85" i="17"/>
  <c r="Z85" i="17"/>
  <c r="Y85" i="17"/>
  <c r="X85" i="17"/>
  <c r="W85" i="17"/>
  <c r="V85" i="17"/>
  <c r="U85" i="17"/>
  <c r="T85" i="17"/>
  <c r="S85" i="17"/>
  <c r="R85" i="17"/>
  <c r="Q85" i="17"/>
  <c r="AE83" i="17"/>
  <c r="AD83" i="17"/>
  <c r="AC83" i="17"/>
  <c r="AB83" i="17"/>
  <c r="AA83" i="17"/>
  <c r="Z83" i="17"/>
  <c r="Y83" i="17"/>
  <c r="X83" i="17"/>
  <c r="W83" i="17"/>
  <c r="V83" i="17"/>
  <c r="U83" i="17"/>
  <c r="T83" i="17"/>
  <c r="S83" i="17"/>
  <c r="R83" i="17"/>
  <c r="Q83" i="17"/>
  <c r="AE82" i="17"/>
  <c r="AD82" i="17"/>
  <c r="AC82" i="17"/>
  <c r="AB82" i="17"/>
  <c r="AA82" i="17"/>
  <c r="Z82" i="17"/>
  <c r="Y82" i="17"/>
  <c r="X82" i="17"/>
  <c r="W82" i="17"/>
  <c r="V82" i="17"/>
  <c r="U82" i="17"/>
  <c r="T82" i="17"/>
  <c r="S82" i="17"/>
  <c r="R82" i="17"/>
  <c r="Q82" i="17"/>
  <c r="AE81" i="17"/>
  <c r="AD81" i="17"/>
  <c r="AC81" i="17"/>
  <c r="AB81" i="17"/>
  <c r="AA81" i="17"/>
  <c r="Z81" i="17"/>
  <c r="Y81" i="17"/>
  <c r="X81" i="17"/>
  <c r="W81" i="17"/>
  <c r="V81" i="17"/>
  <c r="U81" i="17"/>
  <c r="T81" i="17"/>
  <c r="S81" i="17"/>
  <c r="R81" i="17"/>
  <c r="Q81" i="17"/>
  <c r="AE77" i="17"/>
  <c r="AD77" i="17"/>
  <c r="AC77" i="17"/>
  <c r="AB77" i="17"/>
  <c r="AA77" i="17"/>
  <c r="Z77" i="17"/>
  <c r="Y77" i="17"/>
  <c r="X77" i="17"/>
  <c r="W77" i="17"/>
  <c r="V77" i="17"/>
  <c r="U77" i="17"/>
  <c r="T77" i="17"/>
  <c r="S77" i="17"/>
  <c r="R77" i="17"/>
  <c r="Q77" i="17"/>
  <c r="AE76" i="17"/>
  <c r="AD76" i="17"/>
  <c r="AC76" i="17"/>
  <c r="AB76" i="17"/>
  <c r="AA76" i="17"/>
  <c r="Z76" i="17"/>
  <c r="Y76" i="17"/>
  <c r="X76" i="17"/>
  <c r="W76" i="17"/>
  <c r="V76" i="17"/>
  <c r="U76" i="17"/>
  <c r="T76" i="17"/>
  <c r="S76" i="17"/>
  <c r="R76" i="17"/>
  <c r="Q76" i="17"/>
  <c r="AE75" i="17"/>
  <c r="AD75" i="17"/>
  <c r="AC75" i="17"/>
  <c r="AB75" i="17"/>
  <c r="AA75" i="17"/>
  <c r="Z75" i="17"/>
  <c r="Y75" i="17"/>
  <c r="X75" i="17"/>
  <c r="W75" i="17"/>
  <c r="V75" i="17"/>
  <c r="U75" i="17"/>
  <c r="T75" i="17"/>
  <c r="S75" i="17"/>
  <c r="R75" i="17"/>
  <c r="Q75" i="17"/>
  <c r="AE74" i="17"/>
  <c r="AD74" i="17"/>
  <c r="AC74" i="17"/>
  <c r="AB74" i="17"/>
  <c r="AA74" i="17"/>
  <c r="Z74" i="17"/>
  <c r="Y74" i="17"/>
  <c r="X74" i="17"/>
  <c r="W74" i="17"/>
  <c r="V74" i="17"/>
  <c r="U74" i="17"/>
  <c r="T74" i="17"/>
  <c r="S74" i="17"/>
  <c r="R74" i="17"/>
  <c r="Q74" i="17"/>
  <c r="AE73" i="17"/>
  <c r="AD73" i="17"/>
  <c r="AC73" i="17"/>
  <c r="AB73" i="17"/>
  <c r="AA73" i="17"/>
  <c r="Z73" i="17"/>
  <c r="Y73" i="17"/>
  <c r="X73" i="17"/>
  <c r="W73" i="17"/>
  <c r="V73" i="17"/>
  <c r="U73" i="17"/>
  <c r="T73" i="17"/>
  <c r="S73" i="17"/>
  <c r="R73" i="17"/>
  <c r="Q73" i="17"/>
  <c r="AE72" i="17"/>
  <c r="AD72" i="17"/>
  <c r="AC72" i="17"/>
  <c r="AB72" i="17"/>
  <c r="AA72" i="17"/>
  <c r="Z72" i="17"/>
  <c r="Y72" i="17"/>
  <c r="X72" i="17"/>
  <c r="W72" i="17"/>
  <c r="V72" i="17"/>
  <c r="U72" i="17"/>
  <c r="T72" i="17"/>
  <c r="S72" i="17"/>
  <c r="R72" i="17"/>
  <c r="Q72" i="17"/>
  <c r="AE70" i="17"/>
  <c r="AD70" i="17"/>
  <c r="AC70" i="17"/>
  <c r="AB70" i="17"/>
  <c r="AA70" i="17"/>
  <c r="Z70" i="17"/>
  <c r="Y70" i="17"/>
  <c r="X70" i="17"/>
  <c r="W70" i="17"/>
  <c r="V70" i="17"/>
  <c r="U70" i="17"/>
  <c r="T70" i="17"/>
  <c r="S70" i="17"/>
  <c r="R70" i="17"/>
  <c r="Q70" i="17"/>
  <c r="AE69" i="17"/>
  <c r="AD69" i="17"/>
  <c r="AC69" i="17"/>
  <c r="AB69" i="17"/>
  <c r="AA69" i="17"/>
  <c r="Z69" i="17"/>
  <c r="Y69" i="17"/>
  <c r="X69" i="17"/>
  <c r="W69" i="17"/>
  <c r="V69" i="17"/>
  <c r="U69" i="17"/>
  <c r="T69" i="17"/>
  <c r="S69" i="17"/>
  <c r="R69" i="17"/>
  <c r="Q69" i="17"/>
  <c r="AE68" i="17"/>
  <c r="AD68" i="17"/>
  <c r="AC68" i="17"/>
  <c r="AB68" i="17"/>
  <c r="AA68" i="17"/>
  <c r="Z68" i="17"/>
  <c r="Y68" i="17"/>
  <c r="X68" i="17"/>
  <c r="W68" i="17"/>
  <c r="V68" i="17"/>
  <c r="U68" i="17"/>
  <c r="T68" i="17"/>
  <c r="S68" i="17"/>
  <c r="R68" i="17"/>
  <c r="Q68" i="17"/>
  <c r="AE67" i="17"/>
  <c r="AD67" i="17"/>
  <c r="AC67" i="17"/>
  <c r="AB67" i="17"/>
  <c r="AA67" i="17"/>
  <c r="Z67" i="17"/>
  <c r="Y67" i="17"/>
  <c r="X67" i="17"/>
  <c r="W67" i="17"/>
  <c r="V67" i="17"/>
  <c r="U67" i="17"/>
  <c r="T67" i="17"/>
  <c r="S67" i="17"/>
  <c r="R67" i="17"/>
  <c r="Q67" i="17"/>
  <c r="AE66" i="17"/>
  <c r="AD66" i="17"/>
  <c r="AC66" i="17"/>
  <c r="AB66" i="17"/>
  <c r="AA66" i="17"/>
  <c r="Z66" i="17"/>
  <c r="Y66" i="17"/>
  <c r="X66" i="17"/>
  <c r="W66" i="17"/>
  <c r="V66" i="17"/>
  <c r="U66" i="17"/>
  <c r="T66" i="17"/>
  <c r="S66" i="17"/>
  <c r="R66" i="17"/>
  <c r="Q66" i="17"/>
  <c r="AE65" i="17"/>
  <c r="AD65" i="17"/>
  <c r="AC65" i="17"/>
  <c r="AB65" i="17"/>
  <c r="AA65" i="17"/>
  <c r="Z65" i="17"/>
  <c r="Y65" i="17"/>
  <c r="X65" i="17"/>
  <c r="W65" i="17"/>
  <c r="V65" i="17"/>
  <c r="U65" i="17"/>
  <c r="T65" i="17"/>
  <c r="S65" i="17"/>
  <c r="R65" i="17"/>
  <c r="Q65" i="17"/>
  <c r="AE64" i="17"/>
  <c r="AD64" i="17"/>
  <c r="AC64" i="17"/>
  <c r="AB64" i="17"/>
  <c r="AA64" i="17"/>
  <c r="Z64" i="17"/>
  <c r="Y64" i="17"/>
  <c r="X64" i="17"/>
  <c r="W64" i="17"/>
  <c r="V64" i="17"/>
  <c r="U64" i="17"/>
  <c r="T64" i="17"/>
  <c r="S64" i="17"/>
  <c r="R64" i="17"/>
  <c r="Q64" i="17"/>
  <c r="AE40" i="17"/>
  <c r="AD40" i="17"/>
  <c r="AC40" i="17"/>
  <c r="AB40" i="17"/>
  <c r="AA40" i="17"/>
  <c r="Z40" i="17"/>
  <c r="Y40" i="17"/>
  <c r="X40" i="17"/>
  <c r="W40" i="17"/>
  <c r="V40" i="17"/>
  <c r="U40" i="17"/>
  <c r="T40" i="17"/>
  <c r="S40" i="17"/>
  <c r="R40" i="17"/>
  <c r="Q40" i="17"/>
  <c r="AE59" i="17"/>
  <c r="AD59" i="17"/>
  <c r="AC59" i="17"/>
  <c r="AB59" i="17"/>
  <c r="AA59" i="17"/>
  <c r="Z59" i="17"/>
  <c r="Y59" i="17"/>
  <c r="X59" i="17"/>
  <c r="W59" i="17"/>
  <c r="V59" i="17"/>
  <c r="U59" i="17"/>
  <c r="T59" i="17"/>
  <c r="S59" i="17"/>
  <c r="R59" i="17"/>
  <c r="Q59" i="17"/>
  <c r="AE58" i="17"/>
  <c r="AD58" i="17"/>
  <c r="AC58" i="17"/>
  <c r="AB58" i="17"/>
  <c r="AA58" i="17"/>
  <c r="Z58" i="17"/>
  <c r="Y58" i="17"/>
  <c r="X58" i="17"/>
  <c r="W58" i="17"/>
  <c r="V58" i="17"/>
  <c r="U58" i="17"/>
  <c r="T58" i="17"/>
  <c r="S58" i="17"/>
  <c r="R58" i="17"/>
  <c r="Q58" i="17"/>
  <c r="AE57" i="17"/>
  <c r="AD57" i="17"/>
  <c r="AC57" i="17"/>
  <c r="AB57" i="17"/>
  <c r="AA57" i="17"/>
  <c r="Z57" i="17"/>
  <c r="Y57" i="17"/>
  <c r="X57" i="17"/>
  <c r="W57" i="17"/>
  <c r="V57" i="17"/>
  <c r="U57" i="17"/>
  <c r="T57" i="17"/>
  <c r="S57" i="17"/>
  <c r="R57" i="17"/>
  <c r="Q57" i="17"/>
  <c r="AE56" i="17"/>
  <c r="AD56" i="17"/>
  <c r="AC56" i="17"/>
  <c r="AB56" i="17"/>
  <c r="AA56" i="17"/>
  <c r="Z56" i="17"/>
  <c r="Y56" i="17"/>
  <c r="X56" i="17"/>
  <c r="W56" i="17"/>
  <c r="V56" i="17"/>
  <c r="U56" i="17"/>
  <c r="T56" i="17"/>
  <c r="S56" i="17"/>
  <c r="R56" i="17"/>
  <c r="Q56" i="17"/>
  <c r="AE53" i="17"/>
  <c r="AD53" i="17"/>
  <c r="AC53" i="17"/>
  <c r="AB53" i="17"/>
  <c r="AA53" i="17"/>
  <c r="Z53" i="17"/>
  <c r="Y53" i="17"/>
  <c r="X53" i="17"/>
  <c r="W53" i="17"/>
  <c r="V53" i="17"/>
  <c r="U53" i="17"/>
  <c r="T53" i="17"/>
  <c r="S53" i="17"/>
  <c r="R53" i="17"/>
  <c r="Q53" i="17"/>
  <c r="AE52" i="17"/>
  <c r="AD52" i="17"/>
  <c r="AC52" i="17"/>
  <c r="AB52" i="17"/>
  <c r="AA52" i="17"/>
  <c r="Z52" i="17"/>
  <c r="Y52" i="17"/>
  <c r="X52" i="17"/>
  <c r="W52" i="17"/>
  <c r="V52" i="17"/>
  <c r="U52" i="17"/>
  <c r="T52" i="17"/>
  <c r="S52" i="17"/>
  <c r="R52" i="17"/>
  <c r="Q52" i="17"/>
  <c r="AE51" i="17"/>
  <c r="AD51" i="17"/>
  <c r="AC51" i="17"/>
  <c r="AB51" i="17"/>
  <c r="AA51" i="17"/>
  <c r="Z51" i="17"/>
  <c r="Y51" i="17"/>
  <c r="X51" i="17"/>
  <c r="W51" i="17"/>
  <c r="V51" i="17"/>
  <c r="U51" i="17"/>
  <c r="T51" i="17"/>
  <c r="S51" i="17"/>
  <c r="R51" i="17"/>
  <c r="Q51" i="17"/>
  <c r="AE49" i="17"/>
  <c r="AD49" i="17"/>
  <c r="AC49" i="17"/>
  <c r="AB49" i="17"/>
  <c r="AA49" i="17"/>
  <c r="Z49" i="17"/>
  <c r="Y49" i="17"/>
  <c r="X49" i="17"/>
  <c r="W49" i="17"/>
  <c r="V49" i="17"/>
  <c r="U49" i="17"/>
  <c r="T49" i="17"/>
  <c r="S49" i="17"/>
  <c r="R49" i="17"/>
  <c r="Q49" i="17"/>
  <c r="AE48" i="17"/>
  <c r="AD48" i="17"/>
  <c r="AC48" i="17"/>
  <c r="AB48" i="17"/>
  <c r="AA48" i="17"/>
  <c r="Z48" i="17"/>
  <c r="Y48" i="17"/>
  <c r="X48" i="17"/>
  <c r="W48" i="17"/>
  <c r="V48" i="17"/>
  <c r="U48" i="17"/>
  <c r="T48" i="17"/>
  <c r="S48" i="17"/>
  <c r="R48" i="17"/>
  <c r="Q48" i="17"/>
  <c r="AE46" i="17"/>
  <c r="AD46" i="17"/>
  <c r="AC46" i="17"/>
  <c r="AB46" i="17"/>
  <c r="AA46" i="17"/>
  <c r="Z46" i="17"/>
  <c r="Y46" i="17"/>
  <c r="X46" i="17"/>
  <c r="W46" i="17"/>
  <c r="V46" i="17"/>
  <c r="U46" i="17"/>
  <c r="T46" i="17"/>
  <c r="S46" i="17"/>
  <c r="R46" i="17"/>
  <c r="Q46" i="17"/>
  <c r="AE39" i="17"/>
  <c r="AD39" i="17"/>
  <c r="AC39" i="17"/>
  <c r="AB39" i="17"/>
  <c r="AA39" i="17"/>
  <c r="Z39" i="17"/>
  <c r="Y39" i="17"/>
  <c r="X39" i="17"/>
  <c r="W39" i="17"/>
  <c r="V39" i="17"/>
  <c r="U39" i="17"/>
  <c r="T39" i="17"/>
  <c r="S39" i="17"/>
  <c r="R39" i="17"/>
  <c r="Q39" i="17"/>
  <c r="AE38" i="17"/>
  <c r="AD38" i="17"/>
  <c r="AC38" i="17"/>
  <c r="AB38" i="17"/>
  <c r="AA38" i="17"/>
  <c r="Z38" i="17"/>
  <c r="Y38" i="17"/>
  <c r="X38" i="17"/>
  <c r="W38" i="17"/>
  <c r="V38" i="17"/>
  <c r="U38" i="17"/>
  <c r="T38" i="17"/>
  <c r="S38" i="17"/>
  <c r="R38" i="17"/>
  <c r="Q38" i="17"/>
  <c r="AE37" i="17"/>
  <c r="AD37" i="17"/>
  <c r="AC37" i="17"/>
  <c r="AB37" i="17"/>
  <c r="AA37" i="17"/>
  <c r="Z37" i="17"/>
  <c r="Y37" i="17"/>
  <c r="X37" i="17"/>
  <c r="W37" i="17"/>
  <c r="V37" i="17"/>
  <c r="U37" i="17"/>
  <c r="T37" i="17"/>
  <c r="S37" i="17"/>
  <c r="R37" i="17"/>
  <c r="Q37" i="17"/>
  <c r="AE36" i="17"/>
  <c r="AD36" i="17"/>
  <c r="AC36" i="17"/>
  <c r="AB36" i="17"/>
  <c r="AA36" i="17"/>
  <c r="Z36" i="17"/>
  <c r="Y36" i="17"/>
  <c r="X36" i="17"/>
  <c r="W36" i="17"/>
  <c r="V36" i="17"/>
  <c r="U36" i="17"/>
  <c r="T36" i="17"/>
  <c r="S36" i="17"/>
  <c r="R36" i="17"/>
  <c r="Q36" i="17"/>
  <c r="AE35" i="17"/>
  <c r="AD35" i="17"/>
  <c r="AC35" i="17"/>
  <c r="AB35" i="17"/>
  <c r="AA35" i="17"/>
  <c r="Z35" i="17"/>
  <c r="Y35" i="17"/>
  <c r="X35" i="17"/>
  <c r="W35" i="17"/>
  <c r="V35" i="17"/>
  <c r="U35" i="17"/>
  <c r="T35" i="17"/>
  <c r="S35" i="17"/>
  <c r="R35" i="17"/>
  <c r="Q35" i="17"/>
  <c r="AE34" i="17"/>
  <c r="AD34" i="17"/>
  <c r="AC34" i="17"/>
  <c r="AB34" i="17"/>
  <c r="AA34" i="17"/>
  <c r="Z34" i="17"/>
  <c r="Y34" i="17"/>
  <c r="X34" i="17"/>
  <c r="W34" i="17"/>
  <c r="V34" i="17"/>
  <c r="U34" i="17"/>
  <c r="T34" i="17"/>
  <c r="S34" i="17"/>
  <c r="R34" i="17"/>
  <c r="Q34" i="17"/>
  <c r="AE29" i="17"/>
  <c r="AD29" i="17"/>
  <c r="AC29" i="17"/>
  <c r="AB29" i="17"/>
  <c r="AA29" i="17"/>
  <c r="Z29" i="17"/>
  <c r="Y29" i="17"/>
  <c r="X29" i="17"/>
  <c r="W29" i="17"/>
  <c r="V29" i="17"/>
  <c r="U29" i="17"/>
  <c r="T29" i="17"/>
  <c r="S29" i="17"/>
  <c r="R29" i="17"/>
  <c r="Q29" i="17"/>
  <c r="AE28" i="17"/>
  <c r="AD28" i="17"/>
  <c r="AC28" i="17"/>
  <c r="AB28" i="17"/>
  <c r="AA28" i="17"/>
  <c r="Z28" i="17"/>
  <c r="Y28" i="17"/>
  <c r="X28" i="17"/>
  <c r="W28" i="17"/>
  <c r="V28" i="17"/>
  <c r="U28" i="17"/>
  <c r="T28" i="17"/>
  <c r="S28" i="17"/>
  <c r="R28" i="17"/>
  <c r="Q28" i="17"/>
  <c r="AE27" i="17"/>
  <c r="AD27" i="17"/>
  <c r="AC27" i="17"/>
  <c r="AB27" i="17"/>
  <c r="AA27" i="17"/>
  <c r="Z27" i="17"/>
  <c r="Y27" i="17"/>
  <c r="X27" i="17"/>
  <c r="W27" i="17"/>
  <c r="V27" i="17"/>
  <c r="U27" i="17"/>
  <c r="T27" i="17"/>
  <c r="S27" i="17"/>
  <c r="R27" i="17"/>
  <c r="Q27" i="17"/>
  <c r="AE25" i="17"/>
  <c r="AD25" i="17"/>
  <c r="AC25" i="17"/>
  <c r="AB25" i="17"/>
  <c r="AA25" i="17"/>
  <c r="Z25" i="17"/>
  <c r="Y25" i="17"/>
  <c r="X25" i="17"/>
  <c r="W25" i="17"/>
  <c r="V25" i="17"/>
  <c r="U25" i="17"/>
  <c r="T25" i="17"/>
  <c r="S25" i="17"/>
  <c r="R25" i="17"/>
  <c r="Q25" i="17"/>
  <c r="AE24" i="17"/>
  <c r="AD24" i="17"/>
  <c r="AC24" i="17"/>
  <c r="AB24" i="17"/>
  <c r="AA24" i="17"/>
  <c r="Z24" i="17"/>
  <c r="Y24" i="17"/>
  <c r="X24" i="17"/>
  <c r="W24" i="17"/>
  <c r="V24" i="17"/>
  <c r="U24" i="17"/>
  <c r="T24" i="17"/>
  <c r="S24" i="17"/>
  <c r="R24" i="17"/>
  <c r="Q24" i="17"/>
  <c r="AE23" i="17"/>
  <c r="AD23" i="17"/>
  <c r="AC23" i="17"/>
  <c r="AB23" i="17"/>
  <c r="AA23" i="17"/>
  <c r="Z23" i="17"/>
  <c r="Y23" i="17"/>
  <c r="X23" i="17"/>
  <c r="W23" i="17"/>
  <c r="V23" i="17"/>
  <c r="U23" i="17"/>
  <c r="T23" i="17"/>
  <c r="S23" i="17"/>
  <c r="R23" i="17"/>
  <c r="Q23" i="17"/>
  <c r="AE22" i="17"/>
  <c r="AD22" i="17"/>
  <c r="AC22" i="17"/>
  <c r="AB22" i="17"/>
  <c r="AA22" i="17"/>
  <c r="Z22" i="17"/>
  <c r="Y22" i="17"/>
  <c r="X22" i="17"/>
  <c r="W22" i="17"/>
  <c r="V22" i="17"/>
  <c r="U22" i="17"/>
  <c r="T22" i="17"/>
  <c r="S22" i="17"/>
  <c r="R22" i="17"/>
  <c r="Q22" i="17"/>
  <c r="AE20" i="17"/>
  <c r="AD20" i="17"/>
  <c r="AC20" i="17"/>
  <c r="AB20" i="17"/>
  <c r="AA20" i="17"/>
  <c r="Z20" i="17"/>
  <c r="Y20" i="17"/>
  <c r="X20" i="17"/>
  <c r="W20" i="17"/>
  <c r="V20" i="17"/>
  <c r="U20" i="17"/>
  <c r="T20" i="17"/>
  <c r="S20" i="17"/>
  <c r="R20" i="17"/>
  <c r="Q20" i="17"/>
  <c r="AE18" i="17"/>
  <c r="AD18" i="17"/>
  <c r="AC18" i="17"/>
  <c r="AB18" i="17"/>
  <c r="AA18" i="17"/>
  <c r="Z18" i="17"/>
  <c r="Y18" i="17"/>
  <c r="X18" i="17"/>
  <c r="W18" i="17"/>
  <c r="V18" i="17"/>
  <c r="U18" i="17"/>
  <c r="T18" i="17"/>
  <c r="S18" i="17"/>
  <c r="R18" i="17"/>
  <c r="Q18" i="17"/>
  <c r="AE17" i="17"/>
  <c r="AD17" i="17"/>
  <c r="AC17" i="17"/>
  <c r="AB17" i="17"/>
  <c r="AA17" i="17"/>
  <c r="Z17" i="17"/>
  <c r="Y17" i="17"/>
  <c r="X17" i="17"/>
  <c r="W17" i="17"/>
  <c r="V17" i="17"/>
  <c r="U17" i="17"/>
  <c r="T17" i="17"/>
  <c r="S17" i="17"/>
  <c r="R17" i="17"/>
  <c r="Q17" i="17"/>
  <c r="AE16" i="17"/>
  <c r="AD16" i="17"/>
  <c r="AC16" i="17"/>
  <c r="AB16" i="17"/>
  <c r="AA16" i="17"/>
  <c r="Z16" i="17"/>
  <c r="Y16" i="17"/>
  <c r="X16" i="17"/>
  <c r="W16" i="17"/>
  <c r="V16" i="17"/>
  <c r="U16" i="17"/>
  <c r="T16" i="17"/>
  <c r="S16" i="17"/>
  <c r="R16" i="17"/>
  <c r="Q16" i="17"/>
  <c r="Q15" i="17"/>
  <c r="X15" i="17"/>
  <c r="AE14" i="17"/>
  <c r="AD14" i="17"/>
  <c r="AC14" i="17"/>
  <c r="AB14" i="17"/>
  <c r="AA14" i="17"/>
  <c r="Z14" i="17"/>
  <c r="Y14" i="17"/>
  <c r="X14" i="17"/>
  <c r="W14" i="17"/>
  <c r="V14" i="17"/>
  <c r="U14" i="17"/>
  <c r="T14" i="17"/>
  <c r="S14" i="17"/>
  <c r="R14" i="17"/>
  <c r="Q14" i="17"/>
  <c r="AE13" i="17"/>
  <c r="AD13" i="17"/>
  <c r="AC13" i="17"/>
  <c r="AB13" i="17"/>
  <c r="AA13" i="17"/>
  <c r="Z13" i="17"/>
  <c r="Y13" i="17"/>
  <c r="X13" i="17"/>
  <c r="W13" i="17"/>
  <c r="V13" i="17"/>
  <c r="U13" i="17"/>
  <c r="T13" i="17"/>
  <c r="S13" i="17"/>
  <c r="R13" i="17"/>
  <c r="Q13" i="17"/>
  <c r="AE10" i="17"/>
  <c r="AD10" i="17"/>
  <c r="AC10" i="17"/>
  <c r="AB10" i="17"/>
  <c r="AA10" i="17"/>
  <c r="Z10" i="17"/>
  <c r="Y10" i="17"/>
  <c r="X10" i="17"/>
  <c r="W10" i="17"/>
  <c r="V10" i="17"/>
  <c r="U10" i="17"/>
  <c r="T10" i="17"/>
  <c r="S10" i="17"/>
  <c r="R10" i="17"/>
  <c r="Q10" i="17"/>
  <c r="AE8" i="17"/>
  <c r="AD8" i="17"/>
  <c r="AC8" i="17"/>
  <c r="AB8" i="17"/>
  <c r="AA8" i="17"/>
  <c r="Z8" i="17"/>
  <c r="Y8" i="17"/>
  <c r="X8" i="17"/>
  <c r="W8" i="17"/>
  <c r="V8" i="17"/>
  <c r="U8" i="17"/>
  <c r="T8" i="17"/>
  <c r="S8" i="17"/>
  <c r="R8" i="17"/>
  <c r="Q8" i="17"/>
  <c r="AE7" i="17"/>
  <c r="AD7" i="17"/>
  <c r="AC7" i="17"/>
  <c r="AB7" i="17"/>
  <c r="AA7" i="17"/>
  <c r="Z7" i="17"/>
  <c r="Y7" i="17"/>
  <c r="X7" i="17"/>
  <c r="W7" i="17"/>
  <c r="V7" i="17"/>
  <c r="U7" i="17"/>
  <c r="T7" i="17"/>
  <c r="S7" i="17"/>
  <c r="R7" i="17"/>
  <c r="Q7" i="17"/>
  <c r="AE6" i="17"/>
  <c r="AD6" i="17"/>
  <c r="AC6" i="17"/>
  <c r="AB6" i="17"/>
  <c r="AA6" i="17"/>
  <c r="Z6" i="17"/>
  <c r="Y6" i="17"/>
  <c r="X6" i="17"/>
  <c r="W6" i="17"/>
  <c r="V6" i="17"/>
  <c r="U6" i="17"/>
  <c r="T6" i="17"/>
  <c r="S6" i="17"/>
  <c r="R6" i="17"/>
  <c r="Q6" i="17"/>
  <c r="AE5" i="17"/>
  <c r="AD5" i="17"/>
  <c r="AC5" i="17"/>
  <c r="AB5" i="17"/>
  <c r="AA5" i="17"/>
  <c r="Z5" i="17"/>
  <c r="Y5" i="17"/>
  <c r="X5" i="17"/>
  <c r="W5" i="17"/>
  <c r="V5" i="17"/>
  <c r="U5" i="17"/>
  <c r="T5" i="17"/>
  <c r="S5" i="17"/>
  <c r="R5" i="17"/>
  <c r="Q5" i="17"/>
  <c r="X192" i="17"/>
  <c r="Q192" i="17"/>
  <c r="X191" i="17"/>
  <c r="Q191" i="17"/>
  <c r="X182" i="17"/>
  <c r="Q182" i="17"/>
  <c r="Q181" i="17"/>
  <c r="X178" i="17"/>
  <c r="Q178" i="17"/>
  <c r="X177" i="17"/>
  <c r="Q177" i="17"/>
  <c r="X176" i="17"/>
  <c r="Q176" i="17"/>
  <c r="X170" i="17"/>
  <c r="Q170" i="17"/>
  <c r="X167" i="17"/>
  <c r="Q167" i="17"/>
  <c r="X162" i="17"/>
  <c r="Q162" i="17"/>
  <c r="X151" i="17"/>
  <c r="Q151" i="17"/>
  <c r="X148" i="17"/>
  <c r="Q148" i="17"/>
  <c r="X143" i="17"/>
  <c r="Q143" i="17"/>
  <c r="X140" i="17"/>
  <c r="Q140" i="17"/>
  <c r="X136" i="17"/>
  <c r="Q136" i="17"/>
  <c r="X131" i="17"/>
  <c r="Q131" i="17"/>
  <c r="X130" i="17"/>
  <c r="Q130" i="17"/>
  <c r="X128" i="17"/>
  <c r="Q128" i="17"/>
  <c r="X127" i="17"/>
  <c r="Q127" i="17"/>
  <c r="X122" i="17"/>
  <c r="Q122" i="17"/>
  <c r="X117" i="17"/>
  <c r="Q117" i="17"/>
  <c r="X115" i="17"/>
  <c r="Q115" i="17"/>
  <c r="X114" i="17"/>
  <c r="Q114" i="17"/>
  <c r="X113" i="17"/>
  <c r="Q113" i="17"/>
  <c r="X112" i="17"/>
  <c r="Q112" i="17"/>
  <c r="X106" i="17"/>
  <c r="Q106" i="17"/>
  <c r="X104" i="17"/>
  <c r="Q104" i="17"/>
  <c r="X101" i="17"/>
  <c r="Q101" i="17"/>
  <c r="X89" i="17"/>
  <c r="Q89" i="17"/>
  <c r="X84" i="17"/>
  <c r="Q84" i="17"/>
  <c r="X80" i="17"/>
  <c r="Q80" i="17"/>
  <c r="X79" i="17"/>
  <c r="Q79" i="17"/>
  <c r="X71" i="17"/>
  <c r="Q71" i="17"/>
  <c r="X63" i="17"/>
  <c r="Q63" i="17"/>
  <c r="X62" i="17"/>
  <c r="Q62" i="17"/>
  <c r="X60" i="17"/>
  <c r="Q60" i="17"/>
  <c r="X50" i="17"/>
  <c r="Q50" i="17"/>
  <c r="X47" i="17"/>
  <c r="Q47" i="17"/>
  <c r="X45" i="17"/>
  <c r="Q45" i="17"/>
  <c r="X44" i="17"/>
  <c r="Q44" i="17"/>
  <c r="X43" i="17"/>
  <c r="Q43" i="17"/>
  <c r="X42" i="17"/>
  <c r="Q42" i="17"/>
  <c r="X33" i="17"/>
  <c r="Q33" i="17"/>
  <c r="X32" i="17"/>
  <c r="Q32" i="17"/>
  <c r="X30" i="17"/>
  <c r="Q30" i="17"/>
  <c r="X21" i="17"/>
  <c r="Q21" i="17"/>
  <c r="X4" i="17"/>
  <c r="Q4" i="17"/>
  <c r="H17" i="7"/>
  <c r="H16" i="7"/>
  <c r="H15" i="7"/>
  <c r="H14" i="7"/>
  <c r="H12" i="7"/>
  <c r="H11" i="7"/>
  <c r="H10" i="7"/>
  <c r="H9" i="7"/>
  <c r="H8" i="7"/>
  <c r="H7" i="7"/>
  <c r="H6" i="7"/>
  <c r="H5" i="7"/>
  <c r="I7" i="24"/>
  <c r="I8" i="24"/>
  <c r="I9" i="24"/>
  <c r="I10" i="24"/>
  <c r="I11" i="24"/>
  <c r="I12" i="24"/>
  <c r="I13" i="24"/>
  <c r="I14" i="24"/>
  <c r="I15" i="24"/>
  <c r="I16" i="24"/>
  <c r="I17" i="24"/>
  <c r="I6" i="24"/>
  <c r="I5" i="24"/>
  <c r="K17" i="24"/>
  <c r="K16" i="24"/>
  <c r="K15" i="24"/>
  <c r="K14" i="24"/>
  <c r="K13" i="24"/>
  <c r="K12" i="24"/>
  <c r="K11" i="24"/>
  <c r="K10" i="24"/>
  <c r="K9" i="24"/>
  <c r="K8" i="24"/>
  <c r="K7" i="24"/>
  <c r="K6" i="24"/>
  <c r="K5" i="24"/>
  <c r="J6" i="7"/>
  <c r="J7" i="7"/>
  <c r="J8" i="7"/>
  <c r="J9" i="7"/>
  <c r="J10" i="7"/>
  <c r="J11" i="7"/>
  <c r="J12" i="7"/>
  <c r="J13" i="7"/>
  <c r="J14" i="7"/>
  <c r="J15" i="7"/>
  <c r="J16" i="7"/>
  <c r="J17" i="7"/>
  <c r="J5" i="7"/>
  <c r="B2" i="12"/>
  <c r="I18" i="24" l="1"/>
  <c r="D29" i="21"/>
  <c r="C29" i="21"/>
  <c r="D41" i="21"/>
  <c r="D39" i="21"/>
  <c r="D33" i="21"/>
  <c r="D23" i="21"/>
  <c r="C23" i="21"/>
  <c r="D21" i="21"/>
  <c r="C21" i="21"/>
  <c r="D17" i="21"/>
  <c r="C17" i="21"/>
  <c r="D15" i="21"/>
  <c r="C15" i="21"/>
  <c r="D13" i="21"/>
  <c r="C13" i="21"/>
  <c r="D9" i="21"/>
  <c r="C9" i="21"/>
  <c r="D5" i="21"/>
  <c r="C5" i="21"/>
  <c r="C2" i="21"/>
  <c r="D40" i="19"/>
  <c r="C40" i="19"/>
  <c r="D38" i="19"/>
  <c r="C38" i="19"/>
  <c r="D30" i="19"/>
  <c r="C30" i="19"/>
  <c r="D5" i="19"/>
  <c r="C5" i="19"/>
  <c r="C2" i="19"/>
  <c r="D41" i="18"/>
  <c r="D27" i="18"/>
  <c r="D25" i="18"/>
  <c r="D17" i="18"/>
  <c r="D5" i="18"/>
  <c r="C41" i="18"/>
  <c r="C27" i="18"/>
  <c r="C25" i="18"/>
  <c r="C17" i="18"/>
  <c r="C5" i="18"/>
  <c r="C2" i="18"/>
  <c r="AE9" i="17"/>
  <c r="AD9" i="17"/>
  <c r="AC9" i="17"/>
  <c r="AB9" i="17"/>
  <c r="AA9" i="17"/>
  <c r="Z9" i="17"/>
  <c r="Y9" i="17"/>
  <c r="X9" i="17"/>
  <c r="W9" i="17"/>
  <c r="V9" i="17"/>
  <c r="U9" i="17"/>
  <c r="T9" i="17"/>
  <c r="S9" i="17"/>
  <c r="R9" i="17"/>
  <c r="Q9" i="17"/>
  <c r="H18" i="7"/>
</calcChain>
</file>

<file path=xl/sharedStrings.xml><?xml version="1.0" encoding="utf-8"?>
<sst xmlns="http://schemas.openxmlformats.org/spreadsheetml/2006/main" count="1609" uniqueCount="678">
  <si>
    <t xml:space="preserve"> Students to fill in the red cells below:</t>
  </si>
  <si>
    <t>Course Code:</t>
  </si>
  <si>
    <t>Course Instructor:</t>
  </si>
  <si>
    <t>Instructor email:</t>
  </si>
  <si>
    <t>Group Number:</t>
  </si>
  <si>
    <t>A03</t>
  </si>
  <si>
    <t>Lecture Room Number:</t>
  </si>
  <si>
    <t>Lab Room Number:</t>
  </si>
  <si>
    <t>Proposed Project Name:</t>
  </si>
  <si>
    <t>Project Manager 1:</t>
  </si>
  <si>
    <t xml:space="preserve"> PM1</t>
  </si>
  <si>
    <t>PM1 school email:</t>
  </si>
  <si>
    <t>Project Manager 2:</t>
  </si>
  <si>
    <t xml:space="preserve"> PM2</t>
  </si>
  <si>
    <t>PM2 school email:</t>
  </si>
  <si>
    <t>Week 1 Course Start Date:</t>
  </si>
  <si>
    <t>Monday</t>
  </si>
  <si>
    <t>Week 1 Lecture Date:</t>
  </si>
  <si>
    <t>Week 1 Lab Date:</t>
  </si>
  <si>
    <t>Wednesday</t>
  </si>
  <si>
    <t>Due Dates for Dropboxes:</t>
  </si>
  <si>
    <t>Saturdays by 11:45AM (morning)</t>
  </si>
  <si>
    <t>What value in CAD is your team expecting to spend on your project, in total? Include what you actually spend to see how your estimations track.</t>
  </si>
  <si>
    <t>Index</t>
  </si>
  <si>
    <t>Item Name</t>
  </si>
  <si>
    <t>Description</t>
  </si>
  <si>
    <t>Part Number (P/N)</t>
  </si>
  <si>
    <t>Qty</t>
  </si>
  <si>
    <t>$ / item</t>
  </si>
  <si>
    <t>$ total</t>
  </si>
  <si>
    <t>$ spent</t>
  </si>
  <si>
    <t>Link to Item Bought</t>
  </si>
  <si>
    <t>Link to Datasheet</t>
  </si>
  <si>
    <t>Total:</t>
  </si>
  <si>
    <t>What would someone spend in CAD on this project if they were to recreate it themselves? Include all the materials and components they would need.</t>
  </si>
  <si>
    <t>Manufacturer</t>
  </si>
  <si>
    <t>Mfr P/N</t>
  </si>
  <si>
    <t>Supplier</t>
  </si>
  <si>
    <t>Sup P/N</t>
  </si>
  <si>
    <r>
      <t xml:space="preserve">TEAM MANAGERS  </t>
    </r>
    <r>
      <rPr>
        <b/>
        <sz val="12"/>
        <color rgb="FFF2F2F2"/>
        <rFont val="Calibri"/>
        <family val="2"/>
        <scheme val="minor"/>
      </rPr>
      <t>.</t>
    </r>
  </si>
  <si>
    <t>Student Name</t>
  </si>
  <si>
    <t>Student ID#</t>
  </si>
  <si>
    <t>CURRENT STATUS:</t>
  </si>
  <si>
    <t>Notes:</t>
  </si>
  <si>
    <t>Jane Doe</t>
  </si>
  <si>
    <t>000 000 000</t>
  </si>
  <si>
    <t>REV.1 - Pending</t>
  </si>
  <si>
    <t>John Smith</t>
  </si>
  <si>
    <t>Item</t>
  </si>
  <si>
    <t>Student Teams will fill out this column:</t>
  </si>
  <si>
    <t>Instructor’s Comments:</t>
  </si>
  <si>
    <t>(Do not modify this column)</t>
  </si>
  <si>
    <t>Contract Date</t>
  </si>
  <si>
    <t>Rev.1</t>
  </si>
  <si>
    <t>Pending Review</t>
  </si>
  <si>
    <t>TPJ655</t>
  </si>
  <si>
    <t>Rev.2</t>
  </si>
  <si>
    <t>(Not ready)</t>
  </si>
  <si>
    <t>Rev.3</t>
  </si>
  <si>
    <t>Rev.4</t>
  </si>
  <si>
    <t>Project Name</t>
  </si>
  <si>
    <t>Creative. Unique. Descriptive. &lt;10 words.</t>
  </si>
  <si>
    <t xml:space="preserve">
2</t>
  </si>
  <si>
    <t xml:space="preserve">
Purpose</t>
  </si>
  <si>
    <t>Description of Project (100-200 words max.):</t>
  </si>
  <si>
    <t xml:space="preserve">Be as descriptive and clear as possible in writing a concise overall purpose of your project. </t>
  </si>
  <si>
    <t>Description of Input &amp; Output Hardware Types: (don't make a list)</t>
  </si>
  <si>
    <r>
      <t xml:space="preserve">Then, state how all IOs (4+ inputs, 4+ outputs) will be used and interact together as a system. </t>
    </r>
    <r>
      <rPr>
        <b/>
        <sz val="12"/>
        <color rgb="FF7030A0"/>
        <rFont val="Calibri"/>
        <family val="2"/>
        <scheme val="minor"/>
      </rPr>
      <t>Bold</t>
    </r>
    <r>
      <rPr>
        <sz val="12"/>
        <color rgb="FF7030A0"/>
        <rFont val="Calibri"/>
        <family val="2"/>
        <scheme val="minor"/>
      </rPr>
      <t xml:space="preserve"> each IO type when you first introduce it.</t>
    </r>
  </si>
  <si>
    <t>Description of IoT Dashboard Interactivity:</t>
  </si>
  <si>
    <r>
      <t xml:space="preserve">Finally, include a blurb about your IoT dashboard and what items specifically it will </t>
    </r>
    <r>
      <rPr>
        <b/>
        <sz val="12"/>
        <color rgb="FF7030A0"/>
        <rFont val="Calibri"/>
        <family val="2"/>
        <scheme val="minor"/>
      </rPr>
      <t>monitor</t>
    </r>
    <r>
      <rPr>
        <sz val="12"/>
        <color rgb="FF7030A0"/>
        <rFont val="Calibri"/>
        <family val="2"/>
        <scheme val="minor"/>
      </rPr>
      <t xml:space="preserve"> (2+ inputs) and </t>
    </r>
    <r>
      <rPr>
        <b/>
        <sz val="12"/>
        <color rgb="FF7030A0"/>
        <rFont val="Calibri"/>
        <family val="2"/>
        <scheme val="minor"/>
      </rPr>
      <t>control</t>
    </r>
    <r>
      <rPr>
        <sz val="12"/>
        <color rgb="FF7030A0"/>
        <rFont val="Calibri"/>
        <family val="2"/>
        <scheme val="minor"/>
      </rPr>
      <t xml:space="preserve"> (2+ outputs).</t>
    </r>
  </si>
  <si>
    <t xml:space="preserve">
3</t>
  </si>
  <si>
    <t xml:space="preserve">
Hardware Inputs</t>
  </si>
  <si>
    <t>Electronics Input Hardware Type:</t>
  </si>
  <si>
    <t>Part Model #</t>
  </si>
  <si>
    <t>No. of GPIOs</t>
  </si>
  <si>
    <t>Type #</t>
  </si>
  <si>
    <t>Qty:</t>
  </si>
  <si>
    <t>eg.</t>
  </si>
  <si>
    <r>
      <t>1)</t>
    </r>
    <r>
      <rPr>
        <sz val="12"/>
        <color rgb="FF7030A0"/>
        <rFont val="Calibri"/>
        <family val="2"/>
        <scheme val="minor"/>
      </rPr>
      <t xml:space="preserve"> Ultrasonic sensor, model=HC-SR04, GPIO=2 pins (1 AI, 1 DO), qty=1. </t>
    </r>
  </si>
  <si>
    <r>
      <t>2)</t>
    </r>
    <r>
      <rPr>
        <sz val="12"/>
        <color rgb="FF7030A0"/>
        <rFont val="Calibri"/>
        <family val="2"/>
        <scheme val="minor"/>
      </rPr>
      <t xml:space="preserve"> Accelerometer, 6-axis I2C, model=GY-521, GPIO=3 pins (2 DO, 1 AI), qty=2.</t>
    </r>
  </si>
  <si>
    <t>etc.</t>
  </si>
  <si>
    <t xml:space="preserve">Expected: 3-5 input types in addition to any pushbuttons or other simple digital inputs. </t>
  </si>
  <si>
    <t xml:space="preserve"> </t>
  </si>
  <si>
    <t xml:space="preserve">
4</t>
  </si>
  <si>
    <t xml:space="preserve">
Hardware Outputs</t>
  </si>
  <si>
    <t>Electronics Output Hardware Type:</t>
  </si>
  <si>
    <r>
      <t>1)</t>
    </r>
    <r>
      <rPr>
        <sz val="12"/>
        <color rgb="FF7030A0"/>
        <rFont val="Calibri"/>
        <family val="2"/>
        <scheme val="minor"/>
      </rPr>
      <t xml:space="preserve"> Servo motor, positional 20kg 5V PWM signal, model=MG995, GPIO=1 pin (1 DO), qty=2. </t>
    </r>
  </si>
  <si>
    <r>
      <t>2)</t>
    </r>
    <r>
      <rPr>
        <sz val="12"/>
        <color rgb="FF7030A0"/>
        <rFont val="Calibri"/>
        <family val="2"/>
        <scheme val="minor"/>
      </rPr>
      <t xml:space="preserve"> Linear actuator, 12V 30mm stroke 100:1, model=HLS12, GPIO=1 (1 AO), qty=1.</t>
    </r>
  </si>
  <si>
    <t>Expected: 3-5 output types in addition to any LEDs or other simple digital outputs.</t>
  </si>
  <si>
    <t xml:space="preserve">
5</t>
  </si>
  <si>
    <t xml:space="preserve">
MCU(s)</t>
  </si>
  <si>
    <r>
      <t>1</t>
    </r>
    <r>
      <rPr>
        <sz val="12"/>
        <color rgb="FF0070C0"/>
        <rFont val="Calibri"/>
        <family val="2"/>
        <scheme val="minor"/>
      </rPr>
      <t xml:space="preserve"> – ESP32-XXXX</t>
    </r>
  </si>
  <si>
    <t>Primary model name? No Arduino or RPi3/4.</t>
  </si>
  <si>
    <t>Secondary is optional. Must be justified.</t>
  </si>
  <si>
    <t xml:space="preserve">
6</t>
  </si>
  <si>
    <t xml:space="preserve">
Other Connectivity</t>
  </si>
  <si>
    <r>
      <t>1</t>
    </r>
    <r>
      <rPr>
        <sz val="12"/>
        <color rgb="FF0070C0"/>
        <rFont val="Calibri"/>
        <family val="2"/>
        <scheme val="minor"/>
      </rPr>
      <t xml:space="preserve"> – N/A</t>
    </r>
  </si>
  <si>
    <t>Expected other boards? eg. Boost converter, ADC or I2C breakout, Power Reg PCB, Separate WIFI connector, Servo motor expansion.</t>
  </si>
  <si>
    <t xml:space="preserve">
7</t>
  </si>
  <si>
    <t xml:space="preserve">
Software Application(s)</t>
  </si>
  <si>
    <t>Team is using this Software (modify/update if needed):</t>
  </si>
  <si>
    <t>General:</t>
  </si>
  <si>
    <t>MS Office (Word, PowerPoint, Excel)</t>
  </si>
  <si>
    <t>Do not use Arduino IDE.</t>
  </si>
  <si>
    <t>Coding IDE:</t>
  </si>
  <si>
    <t>Coding: VS Code with PlatformIO extension?</t>
  </si>
  <si>
    <t>PCB design:</t>
  </si>
  <si>
    <t>AutoDesk Fusion</t>
  </si>
  <si>
    <t>PCB Design: AutoDesk Fusion.</t>
  </si>
  <si>
    <r>
      <t>Schematic:</t>
    </r>
    <r>
      <rPr>
        <sz val="12"/>
        <color rgb="FF0070C0"/>
        <rFont val="Calibri"/>
        <family val="2"/>
        <scheme val="minor"/>
      </rPr>
      <t xml:space="preserve"> </t>
    </r>
  </si>
  <si>
    <r>
      <t>3D design:</t>
    </r>
    <r>
      <rPr>
        <sz val="12"/>
        <color rgb="FF0070C0"/>
        <rFont val="Calibri"/>
        <family val="2"/>
        <scheme val="minor"/>
      </rPr>
      <t xml:space="preserve"> </t>
    </r>
  </si>
  <si>
    <t xml:space="preserve">Note: </t>
  </si>
  <si>
    <r>
      <t xml:space="preserve">We will share images (.jpg exports) of PCB layouts and Mechanical 3D print drawings to the professor </t>
    </r>
    <r>
      <rPr>
        <b/>
        <sz val="12"/>
        <color rgb="FF0070C0"/>
        <rFont val="Calibri"/>
        <family val="2"/>
        <scheme val="minor"/>
      </rPr>
      <t>before</t>
    </r>
    <r>
      <rPr>
        <sz val="12"/>
        <color rgb="FF0070C0"/>
        <rFont val="Calibri"/>
        <family val="2"/>
        <scheme val="minor"/>
      </rPr>
      <t xml:space="preserve"> sending any requests to the labs.</t>
    </r>
  </si>
  <si>
    <t xml:space="preserve">
8</t>
  </si>
  <si>
    <t xml:space="preserve">
IoT Platform</t>
  </si>
  <si>
    <r>
      <rPr>
        <b/>
        <sz val="12"/>
        <color rgb="FF0070C0"/>
        <rFont val="Calibri"/>
        <family val="2"/>
        <scheme val="minor"/>
      </rPr>
      <t xml:space="preserve">Platform: </t>
    </r>
    <r>
      <rPr>
        <sz val="12"/>
        <color rgb="FF0070C0"/>
        <rFont val="Calibri"/>
        <family val="2"/>
        <scheme val="minor"/>
      </rPr>
      <t xml:space="preserve">HTML code within VS Code </t>
    </r>
  </si>
  <si>
    <t>All input/output types should be on one HTML page, with the exception of calling Camera feed(s).</t>
  </si>
  <si>
    <r>
      <t xml:space="preserve">Team </t>
    </r>
    <r>
      <rPr>
        <u/>
        <sz val="12"/>
        <color rgb="FF0070C0"/>
        <rFont val="Calibri"/>
        <family val="2"/>
        <scheme val="minor"/>
      </rPr>
      <t>is</t>
    </r>
    <r>
      <rPr>
        <sz val="12"/>
        <color rgb="FF0070C0"/>
        <rFont val="Calibri"/>
        <family val="2"/>
        <scheme val="minor"/>
      </rPr>
      <t xml:space="preserve"> / </t>
    </r>
    <r>
      <rPr>
        <u/>
        <sz val="12"/>
        <color rgb="FF0070C0"/>
        <rFont val="Calibri"/>
        <family val="2"/>
        <scheme val="minor"/>
      </rPr>
      <t>is not</t>
    </r>
    <r>
      <rPr>
        <sz val="12"/>
        <color rgb="FF0070C0"/>
        <rFont val="Calibri"/>
        <family val="2"/>
        <scheme val="minor"/>
      </rPr>
      <t xml:space="preserve"> writing an app.</t>
    </r>
  </si>
  <si>
    <t>Indicate if team is writing app. Do not use Blynk, Arduino IDE, or other ready-built solutions.</t>
  </si>
  <si>
    <t xml:space="preserve">
9</t>
  </si>
  <si>
    <t xml:space="preserve">
Code(s)</t>
  </si>
  <si>
    <r>
      <t>1</t>
    </r>
    <r>
      <rPr>
        <sz val="12"/>
        <color rgb="FF0070C0"/>
        <rFont val="Calibri"/>
        <family val="2"/>
        <scheme val="minor"/>
      </rPr>
      <t xml:space="preserve"> – C/C++ language</t>
    </r>
  </si>
  <si>
    <r>
      <t>2</t>
    </r>
    <r>
      <rPr>
        <sz val="12"/>
        <color rgb="FF0070C0"/>
        <rFont val="Calibri"/>
        <family val="2"/>
        <scheme val="minor"/>
      </rPr>
      <t xml:space="preserve"> – </t>
    </r>
  </si>
  <si>
    <t xml:space="preserve">
10</t>
  </si>
  <si>
    <t xml:space="preserve">
Expected Prototype Material</t>
  </si>
  <si>
    <t xml:space="preserve">No cardboard, foam board, styrofoam. No hot glue. </t>
  </si>
  <si>
    <t>Main Construction Materials:</t>
  </si>
  <si>
    <t>What will your project be made from: Wood? Metal? Plastic enclosure? MDF board? 3D Print?</t>
  </si>
  <si>
    <t>Assembly Fasteners:</t>
  </si>
  <si>
    <t>How will it be assembled: with Screws? Hinges? Must be opened during Demonstrations.</t>
  </si>
  <si>
    <t xml:space="preserve">
11</t>
  </si>
  <si>
    <t xml:space="preserve">
Connectors</t>
  </si>
  <si>
    <t>PCB can use screw terminals, JST, IDC, Pin headers, etc. but no soldered wires to the PCB! For off-board wiring, crimp appropriate terminals.</t>
  </si>
  <si>
    <t>Wiring Management:</t>
  </si>
  <si>
    <t>Cable Types:</t>
  </si>
  <si>
    <t>Connector Types:</t>
  </si>
  <si>
    <t xml:space="preserve">
12</t>
  </si>
  <si>
    <t xml:space="preserve">
PCB Design</t>
  </si>
  <si>
    <t xml:space="preserve">No. of PCB designs &amp; Expected Purpose: </t>
  </si>
  <si>
    <t>No breadboard or perf board. Requirement for course to have working PCB installed on project.</t>
  </si>
  <si>
    <r>
      <t>1</t>
    </r>
    <r>
      <rPr>
        <sz val="12"/>
        <color rgb="FF0070C0"/>
        <rFont val="Calibri"/>
        <family val="2"/>
        <scheme val="minor"/>
      </rPr>
      <t xml:space="preserve"> – </t>
    </r>
  </si>
  <si>
    <r>
      <t xml:space="preserve">Minimum 1. </t>
    </r>
    <r>
      <rPr>
        <b/>
        <sz val="12"/>
        <color rgb="FFC00000"/>
        <rFont val="Calibri"/>
        <family val="2"/>
        <scheme val="minor"/>
      </rPr>
      <t>Must</t>
    </r>
    <r>
      <rPr>
        <sz val="12"/>
        <color rgb="FFC00000"/>
        <rFont val="Calibri"/>
        <family val="2"/>
        <scheme val="minor"/>
      </rPr>
      <t xml:space="preserve"> send to Seneca PCB Lab. Check requirements page. Verify with professor first.</t>
    </r>
  </si>
  <si>
    <r>
      <rPr>
        <b/>
        <sz val="12"/>
        <color rgb="FFC00000"/>
        <rFont val="Calibri"/>
        <family val="2"/>
        <scheme val="minor"/>
      </rPr>
      <t>Worst case:</t>
    </r>
    <r>
      <rPr>
        <sz val="12"/>
        <color rgb="FFC00000"/>
        <rFont val="Calibri"/>
        <family val="2"/>
        <scheme val="minor"/>
      </rPr>
      <t xml:space="preserve"> PCB is not soldered by Week 11? Must install soldered perf board and bring PCB to class.</t>
    </r>
  </si>
  <si>
    <t>This is a major issue, Team loses significant marks.</t>
  </si>
  <si>
    <t xml:space="preserve">
13</t>
  </si>
  <si>
    <t xml:space="preserve">
3D Printing</t>
  </si>
  <si>
    <t>No. of 3D models &amp; Expected Purpose:</t>
  </si>
  <si>
    <t>Emboss “TPJ655” on each print.</t>
  </si>
  <si>
    <t>Minimum 1. Send to Seneca 3D Print Lab (free). Check requirements page. Verify with prof.</t>
  </si>
  <si>
    <t>May use Fusion or TinkerCAD.</t>
  </si>
  <si>
    <r>
      <t>3</t>
    </r>
    <r>
      <rPr>
        <sz val="12"/>
        <color rgb="FF0070C0"/>
        <rFont val="Calibri"/>
        <family val="2"/>
        <scheme val="minor"/>
      </rPr>
      <t xml:space="preserve"> – </t>
    </r>
  </si>
  <si>
    <t>Suggest slicer: Bambu Studio. Demos available.</t>
  </si>
  <si>
    <t>Expected Cost</t>
  </si>
  <si>
    <t>$</t>
  </si>
  <si>
    <t>Support this estimate with your detailed Budget tab.</t>
  </si>
  <si>
    <t>Policy on AI use in TPJ655:</t>
  </si>
  <si>
    <r>
      <t xml:space="preserve">Generative AI tools can be a useful resource, but they can also create complications if used improperly. In this course, you may use AI-generated code for your assignments, but your grade will reflect the quality of your final submission. If you rely solely on AI-generated content without understanding the underlying concepts, you will miss out on developing the critical thinking skills this course aims to teach. Using generative AI in "auto-pilot" mode (i.e. Copy &amp; Paste) can result in content that lacks creativity, code will likely contain errors to the point of </t>
    </r>
    <r>
      <rPr>
        <b/>
        <sz val="12"/>
        <color theme="1"/>
        <rFont val="Calibri"/>
        <family val="2"/>
        <scheme val="minor"/>
      </rPr>
      <t>causing harm to your hardware</t>
    </r>
    <r>
      <rPr>
        <sz val="12"/>
        <color theme="1"/>
        <rFont val="Calibri"/>
        <family val="2"/>
        <scheme val="minor"/>
      </rPr>
      <t xml:space="preserve">, and may negatively impact your grade. 
It is recommended that you focus on building a strong foundation in programming and data transformation. If you choose to use AI-generated code, you must indicate this in your assignment by adding clear comments </t>
    </r>
    <r>
      <rPr>
        <b/>
        <sz val="12"/>
        <color theme="1"/>
        <rFont val="Calibri"/>
        <family val="2"/>
        <scheme val="minor"/>
      </rPr>
      <t>explaining how and why</t>
    </r>
    <r>
      <rPr>
        <sz val="12"/>
        <color theme="1"/>
        <rFont val="Calibri"/>
        <family val="2"/>
        <scheme val="minor"/>
      </rPr>
      <t xml:space="preserve"> you used it. This ensures transparency and shows that you understand the work submitted and your role in the project.</t>
    </r>
  </si>
  <si>
    <t>Instructions this Semester:</t>
  </si>
  <si>
    <r>
      <t xml:space="preserve">For </t>
    </r>
    <r>
      <rPr>
        <b/>
        <sz val="12"/>
        <color theme="1"/>
        <rFont val="Calibri"/>
        <family val="2"/>
        <scheme val="minor"/>
      </rPr>
      <t>each</t>
    </r>
    <r>
      <rPr>
        <sz val="12"/>
        <color theme="1"/>
        <rFont val="Calibri"/>
        <family val="2"/>
        <scheme val="minor"/>
      </rPr>
      <t xml:space="preserve"> section of your Technical Report or Presentation that you write this semester, you are encouraged to critique your writing </t>
    </r>
    <r>
      <rPr>
        <b/>
        <sz val="12"/>
        <color theme="1"/>
        <rFont val="Calibri"/>
        <family val="2"/>
        <scheme val="minor"/>
      </rPr>
      <t>at least twice</t>
    </r>
    <r>
      <rPr>
        <sz val="12"/>
        <color theme="1"/>
        <rFont val="Calibri"/>
        <family val="2"/>
        <scheme val="minor"/>
      </rPr>
      <t>. Tell your gen AI tool what kind of 'person' it is going to be by giving it a personality description. After it has introduced itself, ask it to critique your writing sample. Use the specific feedback it provides to make changes to your section -- or not! Sometimes the advice is bad. Repeat the process, using a different profiles. Three suggested AI profiles that you can use this semester are listed below. Add your own for bonus marks.
When you submit your work for the Weekly Deliverables on that section, provide the history of your communication with all AI profiles used. Explain why you used the parts that you ended up using.</t>
    </r>
  </si>
  <si>
    <t>AI Personality 1:</t>
  </si>
  <si>
    <t>"Percival", the self-important academic.</t>
  </si>
  <si>
    <t>Personality Description:</t>
  </si>
  <si>
    <t>Your name is Percival. You have earned a long list of academic degrees in engineering, statistics, English, philosophy, and business. As a result, you know a lot about a lot of topics. However, you are also a bit of a jerk and other people view you as self-important because you are constantly correcting them, even when they don't ask specific questions. You are still working on your communication skills to your colleagues at a polytechnic institution but it's tough to talk to other people who don't always know what they're talking about. Introduce yourself.</t>
  </si>
  <si>
    <t>AI Personality 2:</t>
  </si>
  <si>
    <t>"Sam", the average computer user.</t>
  </si>
  <si>
    <t>Your name is Sam. You are a genuinely nice person and enjoy helping others solve problems with troubleshooting and asking questions they may not have thought about. You don't have a lot of formal training with electronics and computers, but you have picked up some expertise over the last decade simply with tinkering with projects, opening up gadgets and fixing them, and also designing and coding simple soldered projects that you found on do-it-yourself websites like Instructables.com. You find it easy to talk to other people and find it interesting when people share their ideas with you. Introduce yourself.</t>
  </si>
  <si>
    <t>AI Personality 3:</t>
  </si>
  <si>
    <t>Fill this in!</t>
  </si>
  <si>
    <t>Keyword Traits:</t>
  </si>
  <si>
    <t>Credit:</t>
  </si>
  <si>
    <t>With thanks to Ethan Mollick and Sidney Shapiro for the AI personality ideas and policy wording above, respectively.</t>
  </si>
  <si>
    <t>WBS</t>
  </si>
  <si>
    <t>Description of Tasks - TPJ655</t>
  </si>
  <si>
    <t>Format</t>
  </si>
  <si>
    <t>Sort</t>
  </si>
  <si>
    <t>Phase</t>
  </si>
  <si>
    <t>Week Due</t>
  </si>
  <si>
    <t>Estimated Date</t>
  </si>
  <si>
    <t>Progress</t>
  </si>
  <si>
    <t>Grade %</t>
  </si>
  <si>
    <t>Marks</t>
  </si>
  <si>
    <t>A00</t>
  </si>
  <si>
    <t>Week 02</t>
  </si>
  <si>
    <t>x</t>
  </si>
  <si>
    <t>A01</t>
  </si>
  <si>
    <t xml:space="preserve">  Team Status</t>
  </si>
  <si>
    <t>Marking Scheme</t>
  </si>
  <si>
    <t>Briefing</t>
  </si>
  <si>
    <t>Partners present in Lab</t>
  </si>
  <si>
    <t>Demo</t>
  </si>
  <si>
    <t>PH1</t>
  </si>
  <si>
    <t>A01-a</t>
  </si>
  <si>
    <t xml:space="preserve">  Group Formation of PM1 and PM2</t>
  </si>
  <si>
    <t>Project Design &amp; Parameters</t>
  </si>
  <si>
    <t>Conversation in Lab/Lecture</t>
  </si>
  <si>
    <t/>
  </si>
  <si>
    <t>A01-b</t>
  </si>
  <si>
    <t xml:space="preserve">  Confirm: Team #, ID, Student Names (ideally during Week 1-2 Lab)</t>
  </si>
  <si>
    <t>A01-c</t>
  </si>
  <si>
    <t xml:space="preserve">  Confirm: Each member creates a GitHub account</t>
  </si>
  <si>
    <t>A01-d</t>
  </si>
  <si>
    <t xml:space="preserve">  Basic: System Block Diagram (sketch)</t>
  </si>
  <si>
    <t>Documentation</t>
  </si>
  <si>
    <t>Demonstration in Lab</t>
  </si>
  <si>
    <t xml:space="preserve">  Basic: Mechanical Drawing of entire project (sketch)</t>
  </si>
  <si>
    <t>A01-e</t>
  </si>
  <si>
    <t xml:space="preserve">  Reminder: Start working on Proposal</t>
  </si>
  <si>
    <t>Week 03</t>
  </si>
  <si>
    <t>A02</t>
  </si>
  <si>
    <t>A02-b</t>
  </si>
  <si>
    <t xml:space="preserve">  Confirm: Each member can access Project Charter via OneDrive</t>
  </si>
  <si>
    <t>A02-c</t>
  </si>
  <si>
    <t xml:space="preserve">  Confirm: Show GitHub setup for each member's account</t>
  </si>
  <si>
    <t>B01</t>
  </si>
  <si>
    <t xml:space="preserve">  Project Charter - include updates to all tabs (esp. Contract, Budget, BOM)</t>
  </si>
  <si>
    <t>Charter</t>
  </si>
  <si>
    <t>Dropbox1</t>
  </si>
  <si>
    <t>Save linked .xlsx, Upload to Blackboard</t>
  </si>
  <si>
    <t>File</t>
  </si>
  <si>
    <t>B01-a</t>
  </si>
  <si>
    <t xml:space="preserve">  Fill out tabs: Summary, Budget, BOM (start), and CONTRACT</t>
  </si>
  <si>
    <t>B01-b</t>
  </si>
  <si>
    <t xml:space="preserve">  Confirm: MCU, identify number of GPIO pins available</t>
  </si>
  <si>
    <t>B01-c</t>
  </si>
  <si>
    <t xml:space="preserve">  Include all software protocols needed by devices (SPI, I2C, etc.)</t>
  </si>
  <si>
    <t>B01-d</t>
  </si>
  <si>
    <t xml:space="preserve">  Include clear purpose of IoT dashboard integration</t>
  </si>
  <si>
    <t>B01-e</t>
  </si>
  <si>
    <t xml:space="preserve">  Include purpose and number of PCBs</t>
  </si>
  <si>
    <t>C01</t>
  </si>
  <si>
    <t xml:space="preserve">  Presentation: full project overview - include audio in .pptx</t>
  </si>
  <si>
    <t>Proposal</t>
  </si>
  <si>
    <t>TPJ655_A00_Proposal.pptx</t>
  </si>
  <si>
    <t>C01-a</t>
  </si>
  <si>
    <t xml:space="preserve">  Confirm: Category &amp; Purpose, Targeted Industry</t>
  </si>
  <si>
    <t>C01-b</t>
  </si>
  <si>
    <t xml:space="preserve">  Confirm: Power Requirements: All voltages, input jack / AA batteries</t>
  </si>
  <si>
    <t>C01-c</t>
  </si>
  <si>
    <t xml:space="preserve">  List: Purpose of each input, each output</t>
  </si>
  <si>
    <t>C01-e</t>
  </si>
  <si>
    <t xml:space="preserve">  System Block Diagram (SBD) - use Visio or yEd to export .jpg</t>
  </si>
  <si>
    <t>Technical Report</t>
  </si>
  <si>
    <t>Intended: Technical Report, section §15A</t>
  </si>
  <si>
    <t>C01-f</t>
  </si>
  <si>
    <t xml:space="preserve">  Mechanical Drawing of entire project</t>
  </si>
  <si>
    <t>Intended: Technical Report, section §15D</t>
  </si>
  <si>
    <t>C01-g</t>
  </si>
  <si>
    <t xml:space="preserve">  Introduction - introduce project, why this idea, hook</t>
  </si>
  <si>
    <t>Intended: Technical Report, section §04</t>
  </si>
  <si>
    <t>C01-h</t>
  </si>
  <si>
    <t xml:space="preserve">  Start Background Research - find 3 similar projects, discuss</t>
  </si>
  <si>
    <t>Intended: Technical Report, section §05</t>
  </si>
  <si>
    <t>C01-i</t>
  </si>
  <si>
    <t xml:space="preserve">  Discuss anticipated challenges in each phase, and their plan</t>
  </si>
  <si>
    <t>K01</t>
  </si>
  <si>
    <t xml:space="preserve">  Mock construction of full project in Cardboard only - all parts represented</t>
  </si>
  <si>
    <t>Construction</t>
  </si>
  <si>
    <t>Build</t>
  </si>
  <si>
    <t>Week 04</t>
  </si>
  <si>
    <t xml:space="preserve">  Team Status: PM1 to lead demos</t>
  </si>
  <si>
    <t>F01</t>
  </si>
  <si>
    <t xml:space="preserve">  Demo: Multiple items</t>
  </si>
  <si>
    <t>Demonstration</t>
  </si>
  <si>
    <t>F01-a</t>
  </si>
  <si>
    <t xml:space="preserve">  Demo: Coding IDE installed with Extensions - (PlatformIO, etc)</t>
  </si>
  <si>
    <t>Project Software - Code &amp; IoT</t>
  </si>
  <si>
    <t>F01-b</t>
  </si>
  <si>
    <t xml:space="preserve">  Demo: Show GitHub setup for each member's account</t>
  </si>
  <si>
    <t>F01-c</t>
  </si>
  <si>
    <t xml:space="preserve">  On Hand: MCU installed on a breadboard - keep in a small TPJ box</t>
  </si>
  <si>
    <t>Project Hardware - Elec, Mech</t>
  </si>
  <si>
    <t>F01-d</t>
  </si>
  <si>
    <t xml:space="preserve">  On Hand: Some Inputs &amp; Outputs, Test Wires, Breadboards, in a box</t>
  </si>
  <si>
    <t>F01-e</t>
  </si>
  <si>
    <t xml:space="preserve">  §15B - Project Electrical Wiring Diagram - use Fusion to export .jpg</t>
  </si>
  <si>
    <t>Intended: Technical Report, section §15B</t>
  </si>
  <si>
    <t>F01-f</t>
  </si>
  <si>
    <t xml:space="preserve">  §15D - Mechanical Diagram - use CAD to export .jpg</t>
  </si>
  <si>
    <t>F01-g</t>
  </si>
  <si>
    <t xml:space="preserve">  §15E - IoT Dashboard page layout design - use Visio or yEd to export .jpg</t>
  </si>
  <si>
    <t>Intended: Technical Report, section §15E</t>
  </si>
  <si>
    <t>Week 05</t>
  </si>
  <si>
    <t>A04</t>
  </si>
  <si>
    <t xml:space="preserve">  Team Status: PM2 to lead project parts &amp; demos</t>
  </si>
  <si>
    <t>B02</t>
  </si>
  <si>
    <t xml:space="preserve">  Project Charter - include updates to all tabs, draft version</t>
  </si>
  <si>
    <t>Dropbox2</t>
  </si>
  <si>
    <t>D01</t>
  </si>
  <si>
    <t xml:space="preserve">  Individual reflection responses</t>
  </si>
  <si>
    <t>Reflection</t>
  </si>
  <si>
    <t>Blackboard</t>
  </si>
  <si>
    <t>Each student takes Blackboard Assignment</t>
  </si>
  <si>
    <t>Test</t>
  </si>
  <si>
    <t>E01</t>
  </si>
  <si>
    <t>Project Parts</t>
  </si>
  <si>
    <t>E01-a</t>
  </si>
  <si>
    <t xml:space="preserve">  On Hand: All Inputs &amp; Outputs - all electronics parts to date</t>
  </si>
  <si>
    <t>F02</t>
  </si>
  <si>
    <t>F02-a</t>
  </si>
  <si>
    <t xml:space="preserve">  Demo Live: MCU &amp; Data Cable - blinking LED on breadboard</t>
  </si>
  <si>
    <t>F02-b</t>
  </si>
  <si>
    <t xml:space="preserve">  Collect example code modules for all inputs and outputs, individually</t>
  </si>
  <si>
    <t>G01</t>
  </si>
  <si>
    <t xml:space="preserve">  Technical Report Draft - full shell file with TOC, TOF, header/footer, diagrams</t>
  </si>
  <si>
    <t>Project Report</t>
  </si>
  <si>
    <t>TPJ655_A00_TechnicalReport_1Shell.docx</t>
  </si>
  <si>
    <t>G01-a</t>
  </si>
  <si>
    <t xml:space="preserve">  List: MCU make, model, and GPIO pins used in project</t>
  </si>
  <si>
    <t>G01-b</t>
  </si>
  <si>
    <t xml:space="preserve">  List: All MCU GPIOs to be used for each input and output device</t>
  </si>
  <si>
    <t>G01-c</t>
  </si>
  <si>
    <t xml:space="preserve">  List: All build materials, purpose of 3D model for printed part(s)</t>
  </si>
  <si>
    <t>G01-d</t>
  </si>
  <si>
    <t xml:space="preserve">  §04. Introduction (fully developed section now)</t>
  </si>
  <si>
    <t>G01-e</t>
  </si>
  <si>
    <t xml:space="preserve">  §05. Background Research &amp; Development (fully developed section now)</t>
  </si>
  <si>
    <t>G01-f</t>
  </si>
  <si>
    <t xml:space="preserve">  §07. System Design and Layout - SBD, related flowcharts, descriptions</t>
  </si>
  <si>
    <t>Intended: Technical Report, section §07</t>
  </si>
  <si>
    <t>G01-g</t>
  </si>
  <si>
    <t xml:space="preserve">  §08. Hardware Components &amp; Specifications - with cited pics</t>
  </si>
  <si>
    <t>Intended: Technical Report, section §08</t>
  </si>
  <si>
    <t>G01-h</t>
  </si>
  <si>
    <t xml:space="preserve">  §14. References - MLA or APA format preferred</t>
  </si>
  <si>
    <t>Intended: Technical Report, section §14</t>
  </si>
  <si>
    <t>G01-i</t>
  </si>
  <si>
    <t xml:space="preserve">  §15G - Bill of Materials - copy Charter table into .docx and format it</t>
  </si>
  <si>
    <t>Intended: Technical Report, section §15G</t>
  </si>
  <si>
    <t>H01</t>
  </si>
  <si>
    <t xml:space="preserve">  Presentation Draft - full shell file with basic layout and intro updated</t>
  </si>
  <si>
    <t>Presentation</t>
  </si>
  <si>
    <t>TPJ655_A00_Presentation_Draft.pptx</t>
  </si>
  <si>
    <t>Week 06</t>
  </si>
  <si>
    <t>A05</t>
  </si>
  <si>
    <t xml:space="preserve">  Team Status: PM1 to lead project parts &amp; demos</t>
  </si>
  <si>
    <t>PH2</t>
  </si>
  <si>
    <t>E02</t>
  </si>
  <si>
    <t>E02-a</t>
  </si>
  <si>
    <t xml:space="preserve">  Demo Live: Show instructor SCH Layout 1, get feedback on parts used</t>
  </si>
  <si>
    <t>E02-b</t>
  </si>
  <si>
    <t xml:space="preserve">  Demo Live: Show instructor PCB Layout 1, get feedback on layout</t>
  </si>
  <si>
    <t>E02-c</t>
  </si>
  <si>
    <t xml:space="preserve">  Demo Live: Show instructor 3D model, get feedback on structure</t>
  </si>
  <si>
    <t>E02-d</t>
  </si>
  <si>
    <t xml:space="preserve">  Bring in physical paper of PCB printed layout, version 1, 100% scale</t>
  </si>
  <si>
    <t>E02-e</t>
  </si>
  <si>
    <t xml:space="preserve">  Basic: Electrical Diagram of entire project - use CAD to export .jpg</t>
  </si>
  <si>
    <t>E02-f</t>
  </si>
  <si>
    <t xml:space="preserve">  Basic: Mechanical Diagram of entire project - use CAD to export .jpg</t>
  </si>
  <si>
    <t>E02-g</t>
  </si>
  <si>
    <t xml:space="preserve">  Detailed: 3D Model Diagram of printed part - use CAD to export .jpg</t>
  </si>
  <si>
    <t>F03</t>
  </si>
  <si>
    <t>F03-a</t>
  </si>
  <si>
    <t xml:space="preserve">  Demo Live: MCU interfaces with 1 hardware input (minimum)</t>
  </si>
  <si>
    <t>F03-b</t>
  </si>
  <si>
    <t xml:space="preserve">  Demo Live: MCU interfaces with 1 hardware output (minimum)</t>
  </si>
  <si>
    <t>F03-d</t>
  </si>
  <si>
    <t xml:space="preserve">  Demo Live: Power in to project, setup on breadboard, DMM check</t>
  </si>
  <si>
    <t>F03-e</t>
  </si>
  <si>
    <t xml:space="preserve">  Demo Live: Upload code to MCU using IDE</t>
  </si>
  <si>
    <t>F03-f</t>
  </si>
  <si>
    <t xml:space="preserve">  Demo Live: IoT Platform - control a hardware output via dashboard</t>
  </si>
  <si>
    <t>F03-g</t>
  </si>
  <si>
    <t xml:space="preserve">  Upload current code to GitHub, show progress over last week</t>
  </si>
  <si>
    <t>Week 07</t>
  </si>
  <si>
    <t>A06</t>
  </si>
  <si>
    <t>E03</t>
  </si>
  <si>
    <t>E03-a</t>
  </si>
  <si>
    <t xml:space="preserve">  Demo Live: Show instructor SCH Layout 2, get feedback on layout, parts</t>
  </si>
  <si>
    <t>E03-b</t>
  </si>
  <si>
    <t xml:space="preserve">  Demo Live: Show instructor PCB Layout 2, get feedback before printing</t>
  </si>
  <si>
    <t>E03-c</t>
  </si>
  <si>
    <t xml:space="preserve">  Demo Live: Show instructor 3D model, get feedback before printing</t>
  </si>
  <si>
    <t>F04</t>
  </si>
  <si>
    <t>F04-a</t>
  </si>
  <si>
    <t xml:space="preserve">  Demo Live: MCU interfacing 2 Inputs (minimum)</t>
  </si>
  <si>
    <t>F04-b</t>
  </si>
  <si>
    <t xml:space="preserve">  Demo Live: MCU interfacing 2 Outputs (minimum)</t>
  </si>
  <si>
    <t>F04-c</t>
  </si>
  <si>
    <t xml:space="preserve">  Demo Live: IoT Platform - read a hardware input into dashboard</t>
  </si>
  <si>
    <t>F04-d</t>
  </si>
  <si>
    <t>G02</t>
  </si>
  <si>
    <t xml:space="preserve">  Technical Report Draft - full shell file with section items updated</t>
  </si>
  <si>
    <t>Dropbox3</t>
  </si>
  <si>
    <t>TPJ655_A00_TechnicalReport_2Draft.docx</t>
  </si>
  <si>
    <t>G02-a</t>
  </si>
  <si>
    <t xml:space="preserve">  All previous Diagrams updated, added to Interim Report, added to TOF</t>
  </si>
  <si>
    <t>G02-b</t>
  </si>
  <si>
    <t xml:space="preserve">  §01. Title Page</t>
  </si>
  <si>
    <t>Intended: Technical Report, section §01</t>
  </si>
  <si>
    <t>G02-c</t>
  </si>
  <si>
    <t xml:space="preserve">  §03. Table of Contents (TOC) and Table of Figures (TOF)</t>
  </si>
  <si>
    <t>Intended: Technical Report, section §03</t>
  </si>
  <si>
    <t>G02-d</t>
  </si>
  <si>
    <t xml:space="preserve">  §06. System Functional Features &amp; Specifications</t>
  </si>
  <si>
    <t>Intended: Technical Report, section §06</t>
  </si>
  <si>
    <t>G02-e</t>
  </si>
  <si>
    <t xml:space="preserve">  §10. Product Operating Instructions</t>
  </si>
  <si>
    <t>Intended: Technical Report, section §10</t>
  </si>
  <si>
    <t>G02-f</t>
  </si>
  <si>
    <t>G02-g</t>
  </si>
  <si>
    <t xml:space="preserve">  §15B - Schematic Diagrams of System &amp; PCBs (all) - use Fusion to export .jpg</t>
  </si>
  <si>
    <t>G02-h</t>
  </si>
  <si>
    <t xml:space="preserve">  §15C - PCB Layout Design Diagram (all) - use Fusion to export .jpg</t>
  </si>
  <si>
    <t>Intended: Technical Report, section §15C</t>
  </si>
  <si>
    <t>G02-i</t>
  </si>
  <si>
    <t xml:space="preserve">  §15F - Coding Flowchart - use Visio or yEd to export .jpg</t>
  </si>
  <si>
    <t>Intended: Technical Report, section §15F</t>
  </si>
  <si>
    <t>Week 08</t>
  </si>
  <si>
    <t>Week 09</t>
  </si>
  <si>
    <t>A07</t>
  </si>
  <si>
    <t>A07-a</t>
  </si>
  <si>
    <t xml:space="preserve">  Must Confirm: Revised PCB Layout sent to Lab for Printing</t>
  </si>
  <si>
    <t>A07-b</t>
  </si>
  <si>
    <t xml:space="preserve">  Must Confirm: Revised 3D Model(s) sent to Lab for Printing</t>
  </si>
  <si>
    <t>E04</t>
  </si>
  <si>
    <t>E04-a</t>
  </si>
  <si>
    <t xml:space="preserve">  Bring in physical PCB, version 1 or higher</t>
  </si>
  <si>
    <t>F05</t>
  </si>
  <si>
    <t>F05-a</t>
  </si>
  <si>
    <t xml:space="preserve">  Demo Live: MCU interfacing 3 Inputs (minimum)</t>
  </si>
  <si>
    <t>F05-b</t>
  </si>
  <si>
    <t xml:space="preserve">  Demo Live: MCU interfacing 3 Outputs (minimum)</t>
  </si>
  <si>
    <t>F05-c</t>
  </si>
  <si>
    <t xml:space="preserve">  Demo Live: IoT Platform - control 2 outputs via dashboard (minimum)</t>
  </si>
  <si>
    <t>F05-d</t>
  </si>
  <si>
    <t xml:space="preserve">  Upload current code to GitHub, show progress over last 2 weeks</t>
  </si>
  <si>
    <t>Week 10</t>
  </si>
  <si>
    <t>A08</t>
  </si>
  <si>
    <t>B03</t>
  </si>
  <si>
    <t xml:space="preserve">  Project Charter - include updates to all tabs, interim version</t>
  </si>
  <si>
    <t>Dropbox4</t>
  </si>
  <si>
    <t>D02</t>
  </si>
  <si>
    <t>E05</t>
  </si>
  <si>
    <t>E05-a</t>
  </si>
  <si>
    <t xml:space="preserve">  On Hand: Most materials for final build - PCB, electronics, 3D parts, hardware</t>
  </si>
  <si>
    <t>F06</t>
  </si>
  <si>
    <t>F06-a</t>
  </si>
  <si>
    <t xml:space="preserve">  Demo Live: MCU interfacing ALL Inputs (full working electronics)</t>
  </si>
  <si>
    <t>F06-b</t>
  </si>
  <si>
    <t xml:space="preserve">  Demo Live: MCU interfacing ALL Outputs (full working electronics)</t>
  </si>
  <si>
    <t>F06-c</t>
  </si>
  <si>
    <t xml:space="preserve">  Demo Live: IoT Platform - read 2 inputs into dashboard (minimum)</t>
  </si>
  <si>
    <t>F06-d</t>
  </si>
  <si>
    <t>G03</t>
  </si>
  <si>
    <t xml:space="preserve">  Technical Report Interim - full interim file with previous items updated</t>
  </si>
  <si>
    <t>TPJ655_A00_TechnicalReport_3Interim.docx</t>
  </si>
  <si>
    <t>G03-a</t>
  </si>
  <si>
    <t xml:space="preserve">  Current Version of Software - upload all files in dropbox as .zip</t>
  </si>
  <si>
    <t>AllSoftwareFiles.zip</t>
  </si>
  <si>
    <t>G03-b</t>
  </si>
  <si>
    <t xml:space="preserve">  §09. Theory of Operation</t>
  </si>
  <si>
    <t>Intended: Technical Report, section §09</t>
  </si>
  <si>
    <t>G03-c</t>
  </si>
  <si>
    <t xml:space="preserve">  §11. Maintenance Requirements</t>
  </si>
  <si>
    <t>Intended: Technical Report, section §11</t>
  </si>
  <si>
    <t>PH3</t>
  </si>
  <si>
    <t>G03-d</t>
  </si>
  <si>
    <t xml:space="preserve">  §15E - IoT Dashboard - final screenshots as .jpg</t>
  </si>
  <si>
    <t>H02</t>
  </si>
  <si>
    <t xml:space="preserve">  Presentation Interim - full interim file with previous items updated</t>
  </si>
  <si>
    <t>TPJ655_A00_Presentation_2Interim.docx</t>
  </si>
  <si>
    <t>K02</t>
  </si>
  <si>
    <t xml:space="preserve">  Interim stage of project construction: 100% scale, electronics all work</t>
  </si>
  <si>
    <t>Week 11</t>
  </si>
  <si>
    <t>A09</t>
  </si>
  <si>
    <t>E06</t>
  </si>
  <si>
    <t>E06-a</t>
  </si>
  <si>
    <t xml:space="preserve">  On Hand: All materials for final build - previous, plus all mechanicals</t>
  </si>
  <si>
    <t>E06-b</t>
  </si>
  <si>
    <t xml:space="preserve">  Demo Live: Soldered PCB, headers and connectors fully soldered</t>
  </si>
  <si>
    <t>E06-c</t>
  </si>
  <si>
    <t xml:space="preserve">  Demo Live: Connectors and sockets on hand for all devices</t>
  </si>
  <si>
    <t>E06-d</t>
  </si>
  <si>
    <t xml:space="preserve">  Install one 3D Model on project build (minimum)</t>
  </si>
  <si>
    <t>F07</t>
  </si>
  <si>
    <t>F07-a</t>
  </si>
  <si>
    <t xml:space="preserve">  Demo Live: Current Full Code of Project - show in the IDE</t>
  </si>
  <si>
    <t>F07-b</t>
  </si>
  <si>
    <t>Week 12</t>
  </si>
  <si>
    <t>A10</t>
  </si>
  <si>
    <t>A10-a</t>
  </si>
  <si>
    <t xml:space="preserve">  Confirm: Charter is up to date, no new revs? Plus updated Bill of Materials</t>
  </si>
  <si>
    <t>A10-b</t>
  </si>
  <si>
    <t xml:space="preserve">  Ask Prof to review any document</t>
  </si>
  <si>
    <t>E07</t>
  </si>
  <si>
    <t>E07-a</t>
  </si>
  <si>
    <t xml:space="preserve">  Confirm all hardware is installed with appropriate connections to PCB</t>
  </si>
  <si>
    <t>E07-b</t>
  </si>
  <si>
    <t xml:space="preserve">  Install screws, fasteners, stand-offs on project</t>
  </si>
  <si>
    <t>E07-c</t>
  </si>
  <si>
    <t xml:space="preserve">  Confirm all cables, connectors, sockets are installed securely &amp; neatly</t>
  </si>
  <si>
    <t>E07-d</t>
  </si>
  <si>
    <t xml:space="preserve">  Install wiring management mechanisms</t>
  </si>
  <si>
    <t>F08</t>
  </si>
  <si>
    <t>F08-a</t>
  </si>
  <si>
    <t>F08-b</t>
  </si>
  <si>
    <t>G04</t>
  </si>
  <si>
    <t>Dropbox5</t>
  </si>
  <si>
    <t>TPJ655_A00_TechnicalReport_4Full.docx</t>
  </si>
  <si>
    <t>G04-a</t>
  </si>
  <si>
    <t xml:space="preserve">  All Final Project Photos updated - inside, outside, PCB, soldering, IoT</t>
  </si>
  <si>
    <t>G04-b</t>
  </si>
  <si>
    <t xml:space="preserve">  Updated: Coding Flowchart</t>
  </si>
  <si>
    <t>G04-c</t>
  </si>
  <si>
    <t xml:space="preserve">  Updated: Mechanical Diagram(s) of all 3D parts - export .stl and .jpg</t>
  </si>
  <si>
    <t>G04-d</t>
  </si>
  <si>
    <t xml:space="preserve">  Updated: Digital Twin in CAD of entire build</t>
  </si>
  <si>
    <t>G04-e</t>
  </si>
  <si>
    <t xml:space="preserve">  §02. Abstract</t>
  </si>
  <si>
    <t>Intended: Technical Report, section §02</t>
  </si>
  <si>
    <t>G04-f</t>
  </si>
  <si>
    <t xml:space="preserve">  §12. Future Improvements</t>
  </si>
  <si>
    <t>Intended: Technical Report, section §12</t>
  </si>
  <si>
    <t>G04-g</t>
  </si>
  <si>
    <t xml:space="preserve">  §13. Conclusions: Challenges, Successes, Evidential Accuracy</t>
  </si>
  <si>
    <t>Intended: Technical Report, section §13</t>
  </si>
  <si>
    <t>G04-h</t>
  </si>
  <si>
    <t>G04-i</t>
  </si>
  <si>
    <t xml:space="preserve">  §15F. Full Project Software Code - must be text format, fully annotated</t>
  </si>
  <si>
    <t>Week 13</t>
  </si>
  <si>
    <t>A11</t>
  </si>
  <si>
    <t>A11-a</t>
  </si>
  <si>
    <t xml:space="preserve">  Bonus Marks: Complete final build by Lab W13</t>
  </si>
  <si>
    <t>A11-b</t>
  </si>
  <si>
    <t xml:space="preserve">  Bonus Marks: Submit all documents by W13</t>
  </si>
  <si>
    <t>Dropbox6</t>
  </si>
  <si>
    <t>Final Technical Report &amp; Presentation</t>
  </si>
  <si>
    <t>A11-c</t>
  </si>
  <si>
    <t xml:space="preserve">  Bonus Marks: Final Technical Report</t>
  </si>
  <si>
    <t>A11-d</t>
  </si>
  <si>
    <t xml:space="preserve">  Bonus Marks: Final Presentation - with 5min Demo - include .pptx</t>
  </si>
  <si>
    <t>E08</t>
  </si>
  <si>
    <t>E08-a</t>
  </si>
  <si>
    <t xml:space="preserve">  Remove all tape, glue, cardboard, and other temporary materials</t>
  </si>
  <si>
    <t>E08-b</t>
  </si>
  <si>
    <t xml:space="preserve">  Confirm build looks good, looks complete - need these pics in Tech Report</t>
  </si>
  <si>
    <t>F09</t>
  </si>
  <si>
    <t>F09-a</t>
  </si>
  <si>
    <t xml:space="preserve">  Demo Live: Final Version of Software walk-through - show in the IDE</t>
  </si>
  <si>
    <t>F09-b</t>
  </si>
  <si>
    <t>F09-c</t>
  </si>
  <si>
    <t xml:space="preserve">  Bonus Marks: Final Project is Completed and Working - Showcase ready</t>
  </si>
  <si>
    <t>F09-d</t>
  </si>
  <si>
    <t xml:space="preserve">  Bonus Marks: Final Version of IoT Dashboard - show it fully running</t>
  </si>
  <si>
    <t>Week 14</t>
  </si>
  <si>
    <t>A12</t>
  </si>
  <si>
    <t>B04</t>
  </si>
  <si>
    <t xml:space="preserve">  Project Charter - include updates to all tabs, final version</t>
  </si>
  <si>
    <t>D03</t>
  </si>
  <si>
    <t>F10</t>
  </si>
  <si>
    <t>F10-a</t>
  </si>
  <si>
    <t xml:space="preserve">  Demo Live: Final Version of Project Demonstration - show it fully running</t>
  </si>
  <si>
    <t>F10-b</t>
  </si>
  <si>
    <t xml:space="preserve">  Demo Live: Final Version of IoT Dashboard - show it fully running</t>
  </si>
  <si>
    <t>G05</t>
  </si>
  <si>
    <t xml:space="preserve">  Technical Report Final - completed file with all sections updated</t>
  </si>
  <si>
    <t>TPJ655_A00_TechnicalReport_5Final.docx</t>
  </si>
  <si>
    <t>G05-a</t>
  </si>
  <si>
    <t xml:space="preserve">  All sections must be updated and completed in the Final Report</t>
  </si>
  <si>
    <t xml:space="preserve">  Final Version of Software - upload all files in dropbox as .zip</t>
  </si>
  <si>
    <t>G05-b</t>
  </si>
  <si>
    <t xml:space="preserve">  Updated all Diagrams, TOC, TOF, BOM, References in Final Report</t>
  </si>
  <si>
    <t>G05-c</t>
  </si>
  <si>
    <t xml:space="preserve">  Updated: System Block Diagram</t>
  </si>
  <si>
    <t>G05-d</t>
  </si>
  <si>
    <t xml:space="preserve">  Updated: Electrical Diagram of entire build - export .sch and .jpg</t>
  </si>
  <si>
    <t>G05-e</t>
  </si>
  <si>
    <t xml:space="preserve">  Updated: Schematic of PCB Design - export .sch and .jpg</t>
  </si>
  <si>
    <t>G05-f</t>
  </si>
  <si>
    <t xml:space="preserve">  Updated: Board Layout of PCB Design - export .brd and .jpg</t>
  </si>
  <si>
    <t>G05-g</t>
  </si>
  <si>
    <t xml:space="preserve">  Updated: All Code (Main &amp; IoT) for entire build, text format</t>
  </si>
  <si>
    <t>H03</t>
  </si>
  <si>
    <t xml:space="preserve">  Presentation Final - completed file with all sections updated</t>
  </si>
  <si>
    <t>TPJ655_A00_Presentation_3Final.docx</t>
  </si>
  <si>
    <t>K03</t>
  </si>
  <si>
    <t xml:space="preserve">  Final Construction of project completed, working prototype</t>
  </si>
  <si>
    <t>Week 15</t>
  </si>
  <si>
    <t>A13</t>
  </si>
  <si>
    <t xml:space="preserve">  Bonus Marks: Technical Project Showcase - #SenecaTechSparks</t>
  </si>
  <si>
    <t>Students invited to Great Hall event</t>
  </si>
  <si>
    <t>PH4</t>
  </si>
  <si>
    <t>W15 - TBA</t>
  </si>
  <si>
    <t>3-5%</t>
  </si>
  <si>
    <t>Instructions to Complete Item 
Level 4 Rating (For Best Marks)</t>
  </si>
  <si>
    <t>Marks To Be Deducted Under These Conditions 
Level 1, 2, and 3 Ratings</t>
  </si>
  <si>
    <t>Comments, as needed</t>
  </si>
  <si>
    <t>Week 3</t>
  </si>
  <si>
    <t xml:space="preserve">
</t>
  </si>
  <si>
    <t>Team saved a copy of this Excel file and uploaded it to the dropbox. All student tabs (Summary, latest Contract, Budget, and BOM) are up to date with meaningful information. The proposed project parameters matches the expectations for the course.</t>
  </si>
  <si>
    <t>Missing information or the required parts are incomplete. Insufficient information to make an informed decision on the approval for the project.</t>
  </si>
  <si>
    <t>Team has chosen an MCU based upon cost analysis, power consumption, and other requirements of the project. Choice is supported with the number and types of GPIO pins per electronic device and consideration of any protocols (eg. PWM, SPI, I2C, etc.).</t>
  </si>
  <si>
    <t>Team has chosen a PLC or an MCU that will be unsuitable as a primary MCU for the project, or has not provided justification for its selection. For example: Arduino Uno, Duo, Mega, RPi Pico, M5Stamp, FRDM-K64F, etc. Note: This choice will not be approved.</t>
  </si>
  <si>
    <t>Team has chosen to create the dashboard from scratch with full control over the code and graphical user interface (GUI). Example: If using an ESP32 as primary MCU, the Team has likely chosen HTML or equivalent coding for this dashboard. A plan for improved security is outlined in details.</t>
  </si>
  <si>
    <t>Team has incorrectly chosen to use an existing cloud platform solution (such as Blynk, Ubidots, Adafruit.io, Thingspeak, Thinger.io, or similar) that does not require code or is otherwise unsuitable. Note: This choice will not be approved.</t>
  </si>
  <si>
    <t>Team provided a PPTX and a MP4 version of their presentation files. The presentation does not exceed 12 minutes. The template was used appropriately and completely. Sufficient information is provided by the students (along with their Project Charter) both in text and in voice-over details to make a decision on the approval status of the project. Both team members participated in the generation of the video content, and both are engaging to the audience in their explanations, explaining complex topics but in straightforward language.</t>
  </si>
  <si>
    <t>Incomplete or insufficient data or research has been provided. Use of AI to write several sections or provide notes may be suspected. Purpose of project is lacking depth. Project may be found easily online as DIY projects and no attempt is made in the Proposal to differentiate from them.</t>
  </si>
  <si>
    <t>A complete list of all electronics are provided, sorted by type of input and output, and formatted for easy reading. Expecting 8 or more inputs and outputs. Clear, descriptive, and useful purpose for each device has been provided.</t>
  </si>
  <si>
    <t>Simple devices are included in the count -- pushbuttons and LEDs should be included on the list but only for reference. Incomplete list, complexity is too simple for TPJ6. Missing important details about the purpose of devices.</t>
  </si>
  <si>
    <t>Use software (yEd or Visio) to create the basic structure (Inputs, MCU, Outputs) and save as an image. The scope of the inputs and outputs is of appropriate complexity. Its format follows the structure requested in TPJ class.</t>
  </si>
  <si>
    <t>Drawn by hand, shared as photograph, errors, incomplete, did not follow instructions in class. Scope may be too simple for expected level. Expecting 8 or more inputs &amp; outputs, not a Raspberry Pi, and something that isn't easily found on Instructables or similar websites.</t>
  </si>
  <si>
    <t>Image for this submission can be either handdrawn or sketched using CAD or digital drawing tools. Clearly shows proportions of overall vision. Design may change but this version is a great basis for planning.</t>
  </si>
  <si>
    <t>Unclear proportions, submitted as standalone file (not inside the Deliverables file). Difficult to envision what will be the final product. AI image provided but not identified as such with citation.</t>
  </si>
  <si>
    <t xml:space="preserve">Team has written a meaningful complete draft of their introduction to the Technical Report. Students have effectively answered the Why, Who, When, Where, What questions that the reader will have at the start, and it is done in an interesting and engaging manner, with a voice that is authentic to the team members. Research claims (usually about the Why) are supported with proper references. </t>
  </si>
  <si>
    <t>Missing information or lack of personalization of this section. Team has not yet connected with the reader or explained their motivations for working on the project or why it is important. Citations may be incomplete and must be fixed. Use of AI to write the section may be suspected.</t>
  </si>
  <si>
    <t>Team has provided a substantially researched Technical Report section on the related research appropriate to their project idea. Three or more projects from industry or DIY project websites have been found, a cited image is provided, and each are discussed in detail with respect to the similarities and differences. Web URLs and proper referencing of each project is provided.</t>
  </si>
  <si>
    <t>Team has provided only very simple links to projects that resemble their project idea, or the linked projects are not effectively similar (i.e. only weakly linked). Students have not done substantial research at this point so the similarities and differences are only based on simple observations. Citation may be incomplete and must be fixed. Use of AI to write the section may be suspected.</t>
  </si>
  <si>
    <t>Week 4</t>
  </si>
  <si>
    <t>While in the lab, PM1/2 gives a live demonstration of this item. Example: Team shows VS Code with PlatformIO installed. Both students are aware of the software setup.</t>
  </si>
  <si>
    <t>A partial walkthrough is provided in the lab, or the team uploads a video to the next Dropbox (late).</t>
  </si>
  <si>
    <t>First draft available. Pinouts are indicated on the MCU, power layout is present, and all parts have associated passive components identified (resistors, caps, etc.). Ideally the drawing is completed with Fusion, but may be handdrawn at this point.</t>
  </si>
  <si>
    <t>Unclear elements like incomplete portions, inappropriate choices to the MCU pins, missing passive components (like resistors for LEDs), or other anomalies. Note that an AI-generated schematic is not acceptable.</t>
  </si>
  <si>
    <t>Week 5</t>
  </si>
  <si>
    <t>Supporting evidence is provided and cited. All previous sections and those listed for this week are included as complete as possible, and remaining sections have their own page and titles ready for the next revision. The TOC and TOF are set up now. Students have clearly read the help file and are following its advice. Simple and clear outlines of the project and how it looks are included, even if they will be updated at a later date.</t>
  </si>
  <si>
    <t>Incomplete missing sections or parts. Missing diagrams. Shell does not follow expectations from the help file.</t>
  </si>
  <si>
    <t>Team has updated all citations according to the current state of the project. The references to all images, information sources, and quotations are all cited and refer to real references in Section 14 References. The format of the in line citations and the References section is college-level appropriate, either styled in MLA or APA format.</t>
  </si>
  <si>
    <t xml:space="preserve"> Team has provided only very simple links to projects that resemble their project idea, or the linked projects are not effectively similar (i.e. only weakly linked). Students have not done substantial research at this point so the similarities and differences are only based on simple observations. Citation may be incomplete and must be fixed. Use of AI to write the section may be suspected.</t>
  </si>
  <si>
    <t>This section is full of project related images. These images will appear in the Table of Figures at the beginning of the report. Team has updated images according to the current state of the project. The System Block Diagram follows the layout suggested in class, flowchart shows the coding processes and decisions of the program, and some descriptions are added for clarity.</t>
  </si>
  <si>
    <t>Images not captioned, not shown in TOF. Current state of project is not reflected in these images. SBD still requires updating in its formating. Some images missing or incomplete.</t>
  </si>
  <si>
    <t>This section is full of project related images, specifically all the electronics hardware devices. Each of these images will appear in the Table of Figures at the beginning of the report. Team has updated images according to the current state of the project. Likely a tabular format with clear descriptions and cited electrical specifications.</t>
  </si>
  <si>
    <t>Images not captioned, not shown in TOF. Current state of project is not reflected in these images. Formating of images are incorrect -- for example, skewed aspect ratio, items still within bags, pictures do not show item clearly. Some images missing or incomplete.</t>
  </si>
  <si>
    <t>Team has updated all citations according to the current state of the project. The references to all images, information sources, and quotations are all listed in this section. The format of the in line citations and the References section is college-level appropriate, either styled in MLA or APA format.</t>
  </si>
  <si>
    <t>Team has supplied a list of URLs, fake references, or substantially incomplete information about references. This section must be fixed.</t>
  </si>
  <si>
    <t>Draft PPTX file set up according to the expectations described in the help file. Team has filled in as many sections with details as available up to this point in the semester. All headings and expected slides are present. Team has paid attention to readability and flow of their slidedeck. At least one slide contains a voiceover recording. Both students have contributed to the development of this file.</t>
  </si>
  <si>
    <t>Incomplete or insufficient data or research has been provided. Use of AI to write several sections or provide notes may be suspected. Sections expected to be completed are not yet updated.</t>
  </si>
  <si>
    <t>Week 6</t>
  </si>
  <si>
    <t>Students have printed a 1:1 scale printout on paper of the current PCB Layout of their Rev 1 board. Parts that will be connected to the PCB or PCBs in their project are clearly labelled and the design(s) are easy to read at a glance. The layout is not messy. The design is not simply a connector board either (like a breakout board). The team has worked on making an efficiently-sized PCB and tried to make it single-sided wherever possible.</t>
  </si>
  <si>
    <t>Layout is messy or unclear. Layout looks like a breakout module for the MCU only. The size of the board is too large for the number and spacing of components in the design. Mounting holes are not present. Team has not clearly thought about the location of the ports, connectors, headers, terminals, etc.</t>
  </si>
  <si>
    <t>Week 7</t>
  </si>
  <si>
    <t>The 3D design is thoughtfully arranged with minimal size for the application, and does not exceed the printer lab's limitations in volume or size. The 3D design is not just a design from the internet but has been significantly modified or drawn by the team. The team will show the model (likely using the Bambu Studio from MyApps) and receive feedback on the slicing of the object(s). Both students are aware of the setup.</t>
  </si>
  <si>
    <t>Incomplete, disorganized, unclear, or missing items.</t>
  </si>
  <si>
    <t>Proper title page information is provided, including any images with captions and details about the students and course. The image(s) will appear in the Table of Figures at the beginning of the report.</t>
  </si>
  <si>
    <t>Incomplete, disorganized, unclear, or missing items. Spelling errors. Missing Group number.</t>
  </si>
  <si>
    <t>These are provided in their entirety according to all the titles in the paper, including all major headings of chapters in the TOC and all captions for images in the TOF.</t>
  </si>
  <si>
    <t>Includes all images with captions and descriptions of the project as a system clearly explained. Parts of this section may be in tabular form to collect together the overall information and functional specifications. The images are captioned and appear in the Table of Figures at the beginning of the report. All information, research, and images are appropriately cited, both in line and in the References section.</t>
  </si>
  <si>
    <t>Includes relevant images with captions and descriptions of moving parts or interactions with the hardware clearly explained. This section may read like a recipe in terms of how the user will follow its directions. The images will appear in the Table of Figures at the beginning of the report. Team has updated all images according to the current state of the project. All information, research, and images are appropriately cited, both in line and in the References section.</t>
  </si>
  <si>
    <t>Schematics are clean, clear images and thoughtfully arranged on the pages, as well as their content is thoughtfully arranged with minimal crossing nets. Custom parts were either drawn by the students or installed from appropriate sources (eg. SnapEDA or DigiKey). Citations are provided. The Fusion file is included in the submission.</t>
  </si>
  <si>
    <t>The PCB Layout images are clean, clear images, not stretched or modified, and fit well on the page. The layout of the PCBs make sense for their application. The team has included a 3D model from a top corner perspective of the PCB layout in addition to providing the 2D top and bottom layouts. The team has also included space in this section of the report to have the photos of the top and bottom PCB, once it is fully soldered later in the semester. The Fusion file is included in the submission. If a connector will be installed on the board, it has all pins for the device in a row in their correct ordering (eg. Vcc, DI, DO, GND).</t>
  </si>
  <si>
    <t>Incomplete, disorganized, unclear, or missing items. Possibly oversized or double-sided when the design could have been single-sided with a little more planning on the placement of components.</t>
  </si>
  <si>
    <t>A simple but clear outline of the decision tree and full program's application covering the entire project has been completed, with multiple pages where needed. Readability is high. Students are using either Visio or yEd to generate the original image. Citations are provided.</t>
  </si>
  <si>
    <t>Coding flowchart created in Paint, or a similar low resolution program. The diagram may be incomplete or only a rough digital sketch of the project. Readability may be suffering from lack of sufficient colour contrast (eg. black text on white bkgd) or simplicity in layout. Large diagrams use tiny fonts, instead of increasing the font size and using multiple diagrams to show with clarity.</t>
  </si>
  <si>
    <t>Week 8</t>
  </si>
  <si>
    <t>Additional Notes</t>
  </si>
  <si>
    <t>No classes or labs during Study Week. Students are expected to continue working on their project in their own time. Open Labs are available on campus.</t>
  </si>
  <si>
    <t>Week 9</t>
  </si>
  <si>
    <t>While in the lab, Team shows that one or more PCBs is printed and on hand. Another version may be required, and the Team understands there are only two weeks left to order the final versions.</t>
  </si>
  <si>
    <t>Missing.</t>
  </si>
  <si>
    <t>Missing information or the required parts are incomplete.</t>
  </si>
  <si>
    <t>This section includes all images with captions and interesting or innovative parts of the project fully researched and explained. The images will appear in the Table of Figures at the beginning of the report. Team has updated all images according to the current state of the project. All information, research, and images are appropriately cited, both in line and in the References section.</t>
  </si>
  <si>
    <t>Incomplete, disorganized, unclear, or missing items. References not provided -- must be fixed.</t>
  </si>
  <si>
    <t>This section includes all images with captions and descriptions of user interaction with the project to keep it clean and well maintained clearly explained. The images will appear in the Table of Figures at the beginning of the report. Team has updated all images according to the current state of the project. All information, research, and images are appropriately cited, both in line and in the References section.</t>
  </si>
  <si>
    <t>The IoT dashboard images are numerous, clean, clear images and thoughtfully arranged on the pages, as well as their content is thoughtfully arranged with minimal confusion in readability. Citations are provided. Context is provided.</t>
  </si>
  <si>
    <t>Team has all build materials for the final prototype on the workstation table. This includes a PCB, all the electronics, the 3D print, and the fasteners and other materials (wood? etc.) required to build the final project.</t>
  </si>
  <si>
    <t>Missing or incomplete parts.</t>
  </si>
  <si>
    <t>Team shows their built project has one or more 3D prints installed, designed fully by the Team or substantially modified by the team and fully referenced.</t>
  </si>
  <si>
    <t>Missing or incomplete.</t>
  </si>
  <si>
    <t>Team shows IDE (eg. VS Code) file structure and setup, then spends 3-5 minutes explaining high level decision tree of entire program, in sections. Both students are aware of the software and hardware setup.</t>
  </si>
  <si>
    <t>Missing or incomplete. Missing annotations and full references. One main file contains all code.</t>
  </si>
  <si>
    <r>
      <t xml:space="preserve">Team shows their built project built prototype on hand. It has 80% or higher working electronics fully installed, one or more 3D prints installed, as well one or more PCBs is printed, soldered, and installed on the prototype. (Another PCB version may be required, and the Team understands this is the </t>
    </r>
    <r>
      <rPr>
        <u/>
        <sz val="11"/>
        <color theme="1"/>
        <rFont val="Calibri"/>
        <family val="2"/>
        <scheme val="minor"/>
      </rPr>
      <t>last week</t>
    </r>
    <r>
      <rPr>
        <sz val="11"/>
        <color theme="1"/>
        <rFont val="Calibri"/>
        <family val="2"/>
        <scheme val="minor"/>
      </rPr>
      <t xml:space="preserve"> to order any new boards.) It is clear that all temporary or flimsy build materials have been removed or replaced.</t>
    </r>
  </si>
  <si>
    <t>Temporary or flimsy build materials are still present. Build looks substantially incomplete. Missing components like the 3D part or PCB, or it's not soldered and installed as expected.</t>
  </si>
  <si>
    <t>Team gives a live demonstration of this item. Example: Member shows VS Code file structure and setup, then spends 3-5 minutes explaining high level decision tree of entire program, in sections. Both students are aware of the software and hardware setup.</t>
  </si>
  <si>
    <t>This section includes a high level overview of the purpose of the project, the students' process, the results, and which results specifically provide evidence for success. This is a short section, written at the end of the project's completion because of the nature of what it should contain. This section shows no signs of AI influence in its wording.</t>
  </si>
  <si>
    <t>This section includes all images with captions and descriptions of future improvements clearly explained. Parts of this section may be in tabular form, and students do have permission to create images using AI generators if they choose (or sketch or CAD them). The images are captioned and appear in the Table of Figures at the beginning of the report. All information, research, and images are appropriately cited, both in line and in the References section.</t>
  </si>
  <si>
    <t>This section includes a high level overview of the challenges the team faced, what turned out successful, and supporting evidence to prove the success. For example, if a sensor is able to measure temperature, to what degree does it accurately read the temperature? (What is it measured against?) This is likely a substantial section, written at the end of the project's completion because of the nature of what it should contain. This section shows little to no signs of AI influence in its wording.</t>
  </si>
  <si>
    <t>The full project software code is updated in the Technical Report Section 15 Appendix F. Team has updated all citations according to the current state of the project. The project code is easy to read because it is in a 2-row table: the top row is the name of the file; the bottom, the indented code. Annotations are college-level appropriate.</t>
  </si>
  <si>
    <t>Missing or incomplete. Missing annotations and full references.</t>
  </si>
  <si>
    <t>Team confirms they have updated all photos used throughout the Technical Report. In particular, different viewpoints of the project are included, such as the inside of the enclosure, the PCB top and bottom after soldering and after cable installation, and all pages of the IoT dashboard. The images all appear in the Table of Figures at the beginning of the report and are appropriately cited.</t>
  </si>
  <si>
    <t>Student have not started filming Final Demonstration yet because the build is still incomplete.</t>
  </si>
  <si>
    <t>The dropbox for this week contains all final documents, media files, and associated build files.</t>
  </si>
  <si>
    <t>Note: Depending on which files are missing, the team may or may not be able to pass the course.</t>
  </si>
  <si>
    <t>Team has brought in a completed prototype of their project and is able to demonstrate it completely working. All features work as expected, including inputs, outputs, IoT interaction, a soldered PCB is installed, and a 3D print installed. The Project's performance and parts fully match the latest version of the Contract.</t>
  </si>
  <si>
    <t>Note: Depending on which features are missing, incomplete or not working, the team may or may not be able to pass the course.</t>
  </si>
  <si>
    <t>Team has provided the latest full code for the project, including any code on microcontroller(s), IoT platforms, or similar, in text format in the Technical Report Section 15 Appendix F. The Team is encourage to use a two-row table structure for each major code part, with the file name in the top row and the full text (annotated, indented, black text) in the second row. Comments and annotations are written by the Team and not generated by AI, and are visible throughout major portions of the text. All work is cited.</t>
  </si>
  <si>
    <t>David Jong</t>
  </si>
  <si>
    <t>TPJ655 - Section X</t>
  </si>
  <si>
    <t>david.jong@senecapolytechnic.ca</t>
  </si>
  <si>
    <t>Tuesday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</si>
</sst>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22" x14ac:knownFonts="1">
    <font>
      <sz val="11"/>
      <color theme="1"/>
      <name val="Calibri"/>
      <family val="2"/>
      <scheme val="minor"/>
    </font>
    <font>
      <sz val="12"/>
      <color theme="1"/>
      <name val="Calibri"/>
      <family val="2"/>
      <scheme val="minor"/>
    </font>
    <font>
      <b/>
      <sz val="11"/>
      <color theme="1"/>
      <name val="Calibri"/>
      <family val="2"/>
      <scheme val="minor"/>
    </font>
    <font>
      <b/>
      <sz val="11"/>
      <color theme="0"/>
      <name val="Calibri"/>
      <family val="2"/>
      <scheme val="minor"/>
    </font>
    <font>
      <b/>
      <sz val="12"/>
      <color theme="1"/>
      <name val="Calibri"/>
      <family val="2"/>
      <scheme val="minor"/>
    </font>
    <font>
      <sz val="12"/>
      <color theme="1"/>
      <name val="Calibri"/>
      <family val="2"/>
      <scheme val="minor"/>
    </font>
    <font>
      <b/>
      <sz val="12"/>
      <color rgb="FF7030A0"/>
      <name val="Calibri"/>
      <family val="2"/>
      <scheme val="minor"/>
    </font>
    <font>
      <b/>
      <sz val="12"/>
      <color rgb="FFF2F2F2"/>
      <name val="Calibri"/>
      <family val="2"/>
      <scheme val="minor"/>
    </font>
    <font>
      <b/>
      <sz val="12"/>
      <color rgb="FFC00000"/>
      <name val="Calibri"/>
      <family val="2"/>
      <scheme val="minor"/>
    </font>
    <font>
      <b/>
      <sz val="12"/>
      <color rgb="FF000000"/>
      <name val="Calibri"/>
      <family val="2"/>
      <scheme val="minor"/>
    </font>
    <font>
      <b/>
      <sz val="12"/>
      <color rgb="FF0070C0"/>
      <name val="Calibri"/>
      <family val="2"/>
      <scheme val="minor"/>
    </font>
    <font>
      <sz val="12"/>
      <color rgb="FF0070C0"/>
      <name val="Calibri"/>
      <family val="2"/>
      <scheme val="minor"/>
    </font>
    <font>
      <sz val="12"/>
      <color rgb="FFC00000"/>
      <name val="Calibri"/>
      <family val="2"/>
      <scheme val="minor"/>
    </font>
    <font>
      <sz val="12"/>
      <color rgb="FF7030A0"/>
      <name val="Calibri"/>
      <family val="2"/>
      <scheme val="minor"/>
    </font>
    <font>
      <b/>
      <sz val="11"/>
      <color rgb="FF7030A0"/>
      <name val="Calibri"/>
      <family val="2"/>
      <scheme val="minor"/>
    </font>
    <font>
      <sz val="11"/>
      <color rgb="FF7030A0"/>
      <name val="Calibri"/>
      <family val="2"/>
      <scheme val="minor"/>
    </font>
    <font>
      <b/>
      <sz val="11"/>
      <name val="Calibri"/>
      <family val="2"/>
      <scheme val="minor"/>
    </font>
    <font>
      <i/>
      <sz val="11"/>
      <color theme="1"/>
      <name val="Calibri"/>
      <family val="2"/>
      <scheme val="minor"/>
    </font>
    <font>
      <u/>
      <sz val="12"/>
      <color rgb="FF0070C0"/>
      <name val="Calibri"/>
      <family val="2"/>
      <scheme val="minor"/>
    </font>
    <font>
      <sz val="11"/>
      <color theme="1"/>
      <name val="Calibri"/>
      <family val="2"/>
      <scheme val="minor"/>
    </font>
    <font>
      <u/>
      <sz val="11"/>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theme="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
      <patternFill patternType="solid">
        <fgColor theme="1"/>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164" fontId="19" fillId="0" borderId="0" applyFont="0" applyFill="0" applyBorder="0" applyAlignment="0" applyProtection="0"/>
    <xf numFmtId="0" fontId="21" fillId="0" borderId="0" applyNumberFormat="0" applyFill="0" applyBorder="0" applyAlignment="0" applyProtection="0"/>
  </cellStyleXfs>
  <cellXfs count="318">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2" fontId="0" fillId="0" borderId="0" xfId="0" applyNumberFormat="1" applyAlignment="1">
      <alignment horizontal="center" vertical="center"/>
    </xf>
    <xf numFmtId="0" fontId="4" fillId="0" borderId="0" xfId="0" applyFont="1" applyAlignment="1">
      <alignment vertical="center"/>
    </xf>
    <xf numFmtId="0" fontId="4" fillId="8" borderId="1" xfId="0" applyFont="1" applyFill="1" applyBorder="1" applyAlignment="1">
      <alignment vertical="center"/>
    </xf>
    <xf numFmtId="0" fontId="5" fillId="0" borderId="0" xfId="0" applyFont="1" applyAlignment="1">
      <alignment vertical="center"/>
    </xf>
    <xf numFmtId="0" fontId="4" fillId="2" borderId="1" xfId="0" applyFont="1" applyFill="1" applyBorder="1" applyAlignment="1">
      <alignment vertical="center"/>
    </xf>
    <xf numFmtId="14" fontId="4" fillId="2" borderId="1" xfId="0" applyNumberFormat="1" applyFont="1" applyFill="1" applyBorder="1" applyAlignment="1">
      <alignment horizontal="center" vertical="center"/>
    </xf>
    <xf numFmtId="0" fontId="4" fillId="2" borderId="1" xfId="0" applyFont="1" applyFill="1" applyBorder="1" applyAlignment="1">
      <alignment horizontal="left" vertical="center"/>
    </xf>
    <xf numFmtId="0" fontId="4" fillId="0" borderId="0" xfId="0" applyFont="1" applyAlignment="1">
      <alignment vertical="top"/>
    </xf>
    <xf numFmtId="0" fontId="0" fillId="0" borderId="1" xfId="0" applyBorder="1" applyAlignment="1">
      <alignment horizontal="center" vertical="center"/>
    </xf>
    <xf numFmtId="0" fontId="2" fillId="0" borderId="0" xfId="0" applyFont="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0" fillId="9" borderId="1" xfId="0" applyFill="1" applyBorder="1" applyAlignment="1">
      <alignment horizontal="center" vertical="center"/>
    </xf>
    <xf numFmtId="0" fontId="4" fillId="8" borderId="1" xfId="0" applyFont="1" applyFill="1" applyBorder="1" applyAlignment="1">
      <alignment horizontal="left" vertical="center"/>
    </xf>
    <xf numFmtId="0" fontId="4" fillId="8" borderId="1" xfId="0" applyFont="1" applyFill="1" applyBorder="1" applyAlignment="1">
      <alignment vertical="center" wrapText="1"/>
    </xf>
    <xf numFmtId="0" fontId="6" fillId="0" borderId="29" xfId="0" applyFont="1" applyBorder="1" applyAlignment="1">
      <alignment vertical="center" wrapText="1"/>
    </xf>
    <xf numFmtId="0" fontId="0" fillId="0" borderId="32" xfId="0" applyBorder="1" applyAlignment="1">
      <alignment vertical="top" wrapText="1"/>
    </xf>
    <xf numFmtId="0" fontId="0" fillId="0" borderId="29" xfId="0" applyBorder="1" applyAlignment="1">
      <alignment vertical="top" wrapText="1"/>
    </xf>
    <xf numFmtId="0" fontId="11" fillId="0" borderId="0" xfId="0" applyFont="1" applyAlignment="1">
      <alignment vertical="center" wrapText="1"/>
    </xf>
    <xf numFmtId="0" fontId="10" fillId="0" borderId="34" xfId="0" applyFont="1" applyBorder="1" applyAlignment="1">
      <alignment vertical="center" wrapText="1"/>
    </xf>
    <xf numFmtId="0" fontId="0" fillId="0" borderId="0" xfId="0" applyAlignment="1">
      <alignment vertical="top"/>
    </xf>
    <xf numFmtId="0" fontId="0" fillId="0" borderId="0" xfId="0" applyAlignment="1">
      <alignment horizontal="center" vertical="top"/>
    </xf>
    <xf numFmtId="0" fontId="8" fillId="0" borderId="28" xfId="0" applyFont="1" applyBorder="1" applyAlignment="1">
      <alignment horizontal="center" vertical="top" wrapText="1"/>
    </xf>
    <xf numFmtId="0" fontId="6" fillId="0" borderId="0" xfId="0" applyFont="1" applyAlignment="1">
      <alignment horizontal="center" vertical="center" wrapText="1"/>
    </xf>
    <xf numFmtId="0" fontId="10" fillId="0" borderId="0" xfId="0" applyFont="1" applyAlignment="1">
      <alignment horizontal="center" vertical="center" wrapText="1"/>
    </xf>
    <xf numFmtId="0" fontId="10" fillId="0" borderId="32"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vertical="center" wrapText="1"/>
    </xf>
    <xf numFmtId="0" fontId="10" fillId="0" borderId="26" xfId="0" applyFont="1" applyBorder="1" applyAlignment="1">
      <alignment vertical="center" wrapText="1"/>
    </xf>
    <xf numFmtId="0" fontId="10" fillId="0" borderId="27" xfId="0" applyFont="1" applyBorder="1" applyAlignment="1">
      <alignment horizontal="center" vertical="center" wrapText="1"/>
    </xf>
    <xf numFmtId="0" fontId="10" fillId="2" borderId="26" xfId="0" applyFont="1" applyFill="1" applyBorder="1" applyAlignment="1">
      <alignment vertical="center" wrapText="1"/>
    </xf>
    <xf numFmtId="0" fontId="10" fillId="2" borderId="1" xfId="0" applyFont="1" applyFill="1" applyBorder="1" applyAlignment="1">
      <alignment horizontal="center" vertical="center" wrapText="1"/>
    </xf>
    <xf numFmtId="0" fontId="10" fillId="2" borderId="27" xfId="0" applyFont="1" applyFill="1" applyBorder="1" applyAlignment="1">
      <alignment horizontal="center" vertical="center" wrapText="1"/>
    </xf>
    <xf numFmtId="0" fontId="13" fillId="0" borderId="31" xfId="0" applyFont="1" applyBorder="1" applyAlignment="1">
      <alignment horizontal="left" vertical="top" wrapText="1"/>
    </xf>
    <xf numFmtId="0" fontId="13" fillId="0" borderId="32" xfId="0" applyFont="1" applyBorder="1" applyAlignment="1">
      <alignment vertical="top" wrapText="1"/>
    </xf>
    <xf numFmtId="0" fontId="6" fillId="0" borderId="32" xfId="0" applyFont="1" applyBorder="1" applyAlignment="1">
      <alignment vertical="top" wrapText="1"/>
    </xf>
    <xf numFmtId="0" fontId="12" fillId="0" borderId="29" xfId="0" applyFont="1" applyBorder="1" applyAlignment="1">
      <alignment vertical="top" wrapText="1"/>
    </xf>
    <xf numFmtId="0" fontId="12" fillId="0" borderId="32" xfId="0" applyFont="1" applyBorder="1" applyAlignment="1">
      <alignment vertical="top" wrapText="1"/>
    </xf>
    <xf numFmtId="0" fontId="13" fillId="0" borderId="32" xfId="0" applyFont="1" applyBorder="1" applyAlignment="1">
      <alignment horizontal="left" vertical="top" wrapText="1"/>
    </xf>
    <xf numFmtId="0" fontId="11" fillId="0" borderId="26" xfId="0" applyFont="1" applyBorder="1" applyAlignment="1">
      <alignment vertical="center" wrapText="1"/>
    </xf>
    <xf numFmtId="0" fontId="10" fillId="0" borderId="26" xfId="0" applyFont="1" applyBorder="1" applyAlignment="1">
      <alignment horizontal="right" vertical="center" wrapText="1"/>
    </xf>
    <xf numFmtId="0" fontId="10" fillId="0" borderId="26" xfId="0" applyFont="1" applyBorder="1" applyAlignment="1">
      <alignment horizontal="center" vertical="center" wrapText="1"/>
    </xf>
    <xf numFmtId="0" fontId="13" fillId="0" borderId="28" xfId="0" applyFont="1" applyBorder="1" applyAlignment="1">
      <alignment vertical="top" wrapText="1"/>
    </xf>
    <xf numFmtId="0" fontId="6" fillId="2" borderId="2" xfId="0" applyFont="1" applyFill="1" applyBorder="1" applyAlignment="1">
      <alignment horizontal="right" vertical="top" wrapText="1"/>
    </xf>
    <xf numFmtId="0" fontId="9" fillId="2" borderId="4" xfId="0" applyFont="1" applyFill="1" applyBorder="1" applyAlignment="1">
      <alignment vertical="center" wrapText="1"/>
    </xf>
    <xf numFmtId="0" fontId="8" fillId="2" borderId="2" xfId="0" applyFont="1" applyFill="1" applyBorder="1" applyAlignment="1">
      <alignment horizontal="center" vertical="top" wrapText="1"/>
    </xf>
    <xf numFmtId="0" fontId="8" fillId="2" borderId="31" xfId="0" applyFont="1" applyFill="1" applyBorder="1" applyAlignment="1">
      <alignment horizontal="center" vertical="top" wrapText="1"/>
    </xf>
    <xf numFmtId="0" fontId="9" fillId="2" borderId="31" xfId="0" applyFont="1" applyFill="1" applyBorder="1" applyAlignment="1">
      <alignment vertical="top" wrapText="1"/>
    </xf>
    <xf numFmtId="15" fontId="10" fillId="2" borderId="0" xfId="0" applyNumberFormat="1" applyFont="1" applyFill="1" applyAlignment="1">
      <alignment horizontal="left" vertical="center" wrapText="1"/>
    </xf>
    <xf numFmtId="0" fontId="10" fillId="2" borderId="0" xfId="0" applyFont="1" applyFill="1" applyAlignment="1">
      <alignment vertical="center" wrapText="1"/>
    </xf>
    <xf numFmtId="0" fontId="10" fillId="2" borderId="0" xfId="0" applyFont="1" applyFill="1" applyAlignment="1">
      <alignment horizontal="center" vertical="center" wrapText="1"/>
    </xf>
    <xf numFmtId="0" fontId="10" fillId="2" borderId="32" xfId="0" applyFont="1" applyFill="1" applyBorder="1" applyAlignment="1">
      <alignment horizontal="center" vertical="center" wrapText="1"/>
    </xf>
    <xf numFmtId="0" fontId="10" fillId="6" borderId="34" xfId="0" applyFont="1" applyFill="1" applyBorder="1" applyAlignment="1">
      <alignment horizontal="center" vertical="center" wrapText="1"/>
    </xf>
    <xf numFmtId="0" fontId="8" fillId="2" borderId="15" xfId="0" applyFont="1" applyFill="1" applyBorder="1" applyAlignment="1">
      <alignment horizontal="center" vertical="top" wrapText="1"/>
    </xf>
    <xf numFmtId="0" fontId="8" fillId="2" borderId="29" xfId="0" applyFont="1" applyFill="1" applyBorder="1" applyAlignment="1">
      <alignment horizontal="center" vertical="top" wrapText="1"/>
    </xf>
    <xf numFmtId="0" fontId="0" fillId="0" borderId="0" xfId="0" applyAlignment="1">
      <alignment vertical="center" wrapText="1"/>
    </xf>
    <xf numFmtId="0" fontId="10" fillId="0" borderId="45" xfId="0" applyFont="1" applyBorder="1" applyAlignment="1">
      <alignment horizontal="right" vertical="center" wrapText="1"/>
    </xf>
    <xf numFmtId="0" fontId="10" fillId="0" borderId="40" xfId="0" applyFont="1" applyBorder="1" applyAlignment="1">
      <alignment horizontal="right" vertical="center" wrapText="1"/>
    </xf>
    <xf numFmtId="0" fontId="4" fillId="6" borderId="1" xfId="0" applyFont="1" applyFill="1" applyBorder="1" applyAlignment="1">
      <alignment horizontal="left" vertical="center"/>
    </xf>
    <xf numFmtId="0" fontId="0" fillId="12" borderId="48" xfId="0" applyFill="1" applyBorder="1" applyAlignment="1">
      <alignment vertical="center" wrapText="1"/>
    </xf>
    <xf numFmtId="0" fontId="0" fillId="12" borderId="11" xfId="0" applyFill="1" applyBorder="1" applyAlignment="1">
      <alignment vertical="center" wrapText="1"/>
    </xf>
    <xf numFmtId="0" fontId="15" fillId="12" borderId="9" xfId="0" applyFont="1" applyFill="1" applyBorder="1" applyAlignment="1">
      <alignment vertical="center" wrapText="1"/>
    </xf>
    <xf numFmtId="0" fontId="15" fillId="12" borderId="10" xfId="0" applyFont="1" applyFill="1" applyBorder="1" applyAlignment="1">
      <alignment vertical="center" wrapText="1"/>
    </xf>
    <xf numFmtId="0" fontId="15" fillId="12" borderId="0" xfId="0" applyFont="1" applyFill="1" applyAlignment="1">
      <alignment vertical="center" wrapText="1"/>
    </xf>
    <xf numFmtId="0" fontId="0" fillId="12" borderId="42" xfId="0" applyFill="1" applyBorder="1" applyAlignment="1">
      <alignment vertical="center" wrapText="1"/>
    </xf>
    <xf numFmtId="0" fontId="0" fillId="12" borderId="19" xfId="0" applyFill="1" applyBorder="1" applyAlignment="1">
      <alignment vertical="center" wrapText="1"/>
    </xf>
    <xf numFmtId="0" fontId="15" fillId="12" borderId="7" xfId="0" applyFont="1" applyFill="1" applyBorder="1" applyAlignment="1">
      <alignment vertical="center" wrapText="1"/>
    </xf>
    <xf numFmtId="0" fontId="15" fillId="12" borderId="36" xfId="0" applyFont="1" applyFill="1" applyBorder="1" applyAlignment="1">
      <alignment vertical="center" wrapText="1"/>
    </xf>
    <xf numFmtId="0" fontId="0" fillId="0" borderId="9" xfId="0" applyBorder="1" applyAlignment="1">
      <alignment horizontal="left" vertical="center"/>
    </xf>
    <xf numFmtId="0" fontId="0" fillId="0" borderId="9" xfId="0" applyBorder="1" applyAlignment="1">
      <alignment vertical="center"/>
    </xf>
    <xf numFmtId="0" fontId="0" fillId="12" borderId="45" xfId="0" applyFill="1" applyBorder="1" applyAlignment="1">
      <alignment horizontal="center" vertical="center"/>
    </xf>
    <xf numFmtId="0" fontId="0" fillId="12" borderId="40" xfId="0" applyFill="1" applyBorder="1" applyAlignment="1">
      <alignment horizontal="center" vertical="center"/>
    </xf>
    <xf numFmtId="0" fontId="0" fillId="12" borderId="43" xfId="0" applyFill="1" applyBorder="1" applyAlignment="1">
      <alignment horizontal="center" vertical="center"/>
    </xf>
    <xf numFmtId="0" fontId="0" fillId="12" borderId="50" xfId="0" applyFill="1" applyBorder="1" applyAlignment="1">
      <alignment horizontal="center" vertical="center"/>
    </xf>
    <xf numFmtId="0" fontId="0" fillId="12" borderId="0" xfId="0" applyFill="1" applyAlignment="1">
      <alignment horizontal="center" vertical="center" wrapText="1"/>
    </xf>
    <xf numFmtId="0" fontId="2" fillId="4" borderId="14"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34" xfId="0" applyFont="1" applyFill="1" applyBorder="1" applyAlignment="1">
      <alignment horizontal="center" vertical="center"/>
    </xf>
    <xf numFmtId="0" fontId="2" fillId="4" borderId="30" xfId="0" applyFont="1" applyFill="1" applyBorder="1" applyAlignment="1">
      <alignment horizontal="left" vertical="center"/>
      <extLst>
        <ext xmlns:xfpb="http://schemas.microsoft.com/office/spreadsheetml/2022/featurepropertybag" uri="{C7286773-470A-42A8-94C5-96B5CB345126}">
          <xfpb:xfComplement i="0"/>
        </ext>
      </extLst>
    </xf>
    <xf numFmtId="0" fontId="14" fillId="4" borderId="30" xfId="0" applyFont="1" applyFill="1" applyBorder="1" applyAlignment="1">
      <alignment horizontal="center" vertical="center"/>
    </xf>
    <xf numFmtId="0" fontId="2" fillId="4" borderId="33" xfId="0" applyFont="1" applyFill="1" applyBorder="1" applyAlignment="1">
      <alignment horizontal="center" vertical="center"/>
    </xf>
    <xf numFmtId="0" fontId="2" fillId="4" borderId="30" xfId="0" applyFont="1" applyFill="1" applyBorder="1" applyAlignment="1">
      <alignment horizontal="center" vertical="center"/>
    </xf>
    <xf numFmtId="0" fontId="15" fillId="12" borderId="11" xfId="0" applyFont="1" applyFill="1" applyBorder="1" applyAlignment="1">
      <alignment vertical="center" wrapText="1"/>
    </xf>
    <xf numFmtId="0" fontId="2" fillId="3" borderId="34"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33" xfId="0" applyFont="1" applyFill="1" applyBorder="1" applyAlignment="1">
      <alignment horizontal="center" vertical="center"/>
    </xf>
    <xf numFmtId="0" fontId="2" fillId="3" borderId="30" xfId="0" applyFont="1" applyFill="1" applyBorder="1" applyAlignment="1">
      <alignment horizontal="center" vertical="center"/>
    </xf>
    <xf numFmtId="0" fontId="14" fillId="3" borderId="30" xfId="0" applyFont="1" applyFill="1" applyBorder="1" applyAlignment="1">
      <alignment horizontal="center" vertical="center"/>
    </xf>
    <xf numFmtId="0" fontId="2" fillId="5" borderId="43" xfId="0" applyFont="1" applyFill="1" applyBorder="1" applyAlignment="1">
      <alignment horizontal="center" vertical="center"/>
    </xf>
    <xf numFmtId="0" fontId="2" fillId="5" borderId="42" xfId="0" applyFont="1" applyFill="1" applyBorder="1" applyAlignment="1">
      <alignment horizontal="center" vertical="center"/>
    </xf>
    <xf numFmtId="0" fontId="2" fillId="5" borderId="34" xfId="0" applyFont="1" applyFill="1" applyBorder="1" applyAlignment="1">
      <alignment horizontal="center" vertical="center"/>
    </xf>
    <xf numFmtId="0" fontId="2" fillId="5" borderId="8" xfId="0" applyFont="1" applyFill="1" applyBorder="1" applyAlignment="1">
      <alignment horizontal="center" vertical="center"/>
    </xf>
    <xf numFmtId="0" fontId="0" fillId="12" borderId="8" xfId="0" applyFill="1" applyBorder="1" applyAlignment="1">
      <alignment horizontal="center" vertical="center" wrapText="1"/>
    </xf>
    <xf numFmtId="0" fontId="2" fillId="5" borderId="33" xfId="0" applyFont="1" applyFill="1" applyBorder="1" applyAlignment="1">
      <alignment horizontal="center" vertical="center"/>
    </xf>
    <xf numFmtId="0" fontId="2" fillId="5" borderId="30" xfId="0" applyFont="1" applyFill="1" applyBorder="1" applyAlignment="1">
      <alignment horizontal="center" vertical="center"/>
    </xf>
    <xf numFmtId="0" fontId="14" fillId="5" borderId="30" xfId="0" applyFont="1" applyFill="1" applyBorder="1" applyAlignment="1">
      <alignment horizontal="center" vertical="center"/>
    </xf>
    <xf numFmtId="2" fontId="15" fillId="0" borderId="0" xfId="0" applyNumberFormat="1" applyFont="1" applyAlignment="1">
      <alignment horizontal="center" vertical="center"/>
    </xf>
    <xf numFmtId="0" fontId="0" fillId="12" borderId="13" xfId="0" applyFill="1" applyBorder="1" applyAlignment="1">
      <alignment vertical="center" wrapText="1"/>
    </xf>
    <xf numFmtId="0" fontId="2" fillId="4" borderId="8" xfId="0" applyFont="1" applyFill="1" applyBorder="1" applyAlignment="1">
      <alignment horizontal="left" vertical="center"/>
    </xf>
    <xf numFmtId="0" fontId="2" fillId="3" borderId="14" xfId="0" applyFont="1" applyFill="1" applyBorder="1" applyAlignment="1">
      <alignment horizontal="center" vertical="center"/>
    </xf>
    <xf numFmtId="0" fontId="2" fillId="3" borderId="30" xfId="0" applyFont="1" applyFill="1" applyBorder="1" applyAlignment="1">
      <alignment horizontal="left" vertical="center"/>
      <extLst>
        <ext xmlns:xfpb="http://schemas.microsoft.com/office/spreadsheetml/2022/featurepropertybag" uri="{C7286773-470A-42A8-94C5-96B5CB345126}">
          <xfpb:xfComplement i="0"/>
        </ext>
      </extLst>
    </xf>
    <xf numFmtId="0" fontId="14" fillId="3" borderId="30"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2" fillId="3" borderId="8" xfId="0" applyFont="1" applyFill="1" applyBorder="1" applyAlignment="1">
      <alignment horizontal="left" vertical="center"/>
    </xf>
    <xf numFmtId="0" fontId="2" fillId="5" borderId="30" xfId="0" applyFont="1" applyFill="1" applyBorder="1" applyAlignment="1">
      <alignment horizontal="left" vertical="center"/>
      <extLst>
        <ext xmlns:xfpb="http://schemas.microsoft.com/office/spreadsheetml/2022/featurepropertybag" uri="{C7286773-470A-42A8-94C5-96B5CB345126}">
          <xfpb:xfComplement i="0"/>
        </ext>
      </extLst>
    </xf>
    <xf numFmtId="0" fontId="2" fillId="5" borderId="14" xfId="0" applyFont="1" applyFill="1" applyBorder="1" applyAlignment="1">
      <alignment horizontal="center" vertical="center"/>
    </xf>
    <xf numFmtId="0" fontId="2" fillId="5" borderId="8" xfId="0" applyFont="1" applyFill="1" applyBorder="1" applyAlignment="1">
      <alignment horizontal="left" vertical="center"/>
    </xf>
    <xf numFmtId="0" fontId="8" fillId="2" borderId="5" xfId="0" applyFont="1" applyFill="1" applyBorder="1" applyAlignment="1">
      <alignment horizontal="center" vertical="top" wrapText="1"/>
    </xf>
    <xf numFmtId="0" fontId="5" fillId="0" borderId="1" xfId="0" applyFont="1" applyBorder="1" applyAlignment="1">
      <alignment vertical="center" wrapText="1"/>
    </xf>
    <xf numFmtId="0" fontId="4" fillId="2" borderId="1" xfId="0" applyFont="1" applyFill="1" applyBorder="1" applyAlignment="1">
      <alignment vertical="center" wrapText="1"/>
    </xf>
    <xf numFmtId="0" fontId="4" fillId="13" borderId="1" xfId="0" applyFont="1" applyFill="1" applyBorder="1" applyAlignment="1">
      <alignment vertical="center"/>
    </xf>
    <xf numFmtId="0" fontId="4" fillId="13" borderId="1" xfId="0" applyFont="1" applyFill="1" applyBorder="1" applyAlignment="1">
      <alignment vertical="center" wrapText="1"/>
    </xf>
    <xf numFmtId="0" fontId="17" fillId="0" borderId="0" xfId="0" applyFont="1"/>
    <xf numFmtId="0" fontId="0" fillId="0" borderId="0" xfId="0" applyAlignment="1">
      <alignment vertical="center"/>
      <extLst>
        <ext xmlns:xfpb="http://schemas.microsoft.com/office/spreadsheetml/2022/featurepropertybag" uri="{C7286773-470A-42A8-94C5-96B5CB345126}">
          <xfpb:xfComplement i="0"/>
        </ext>
      </extLst>
    </xf>
    <xf numFmtId="0" fontId="10" fillId="2" borderId="34" xfId="0" applyFont="1" applyFill="1" applyBorder="1" applyAlignment="1">
      <alignment horizontal="center" vertical="center" wrapText="1"/>
    </xf>
    <xf numFmtId="0" fontId="10" fillId="2" borderId="26" xfId="0" applyFont="1" applyFill="1" applyBorder="1" applyAlignment="1">
      <alignment horizontal="right" vertical="center" wrapText="1"/>
    </xf>
    <xf numFmtId="0" fontId="4" fillId="0" borderId="1" xfId="0" applyFont="1" applyBorder="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0" fillId="0" borderId="0" xfId="0" applyAlignment="1">
      <alignment horizontal="right" wrapText="1"/>
    </xf>
    <xf numFmtId="0" fontId="0" fillId="0" borderId="0" xfId="0" applyAlignment="1">
      <alignment wrapText="1"/>
    </xf>
    <xf numFmtId="0" fontId="5" fillId="2" borderId="1" xfId="0" applyFont="1" applyFill="1" applyBorder="1" applyAlignment="1">
      <alignment vertical="center" wrapText="1"/>
    </xf>
    <xf numFmtId="0" fontId="5" fillId="13" borderId="1" xfId="0" applyFont="1" applyFill="1" applyBorder="1" applyAlignment="1">
      <alignment vertical="center" wrapText="1"/>
    </xf>
    <xf numFmtId="0" fontId="0" fillId="0" borderId="0" xfId="0" applyAlignment="1">
      <alignment vertical="top" wrapText="1"/>
    </xf>
    <xf numFmtId="0" fontId="0" fillId="11" borderId="1" xfId="0" applyFill="1" applyBorder="1" applyAlignment="1">
      <alignment vertical="top" wrapText="1"/>
    </xf>
    <xf numFmtId="0" fontId="0" fillId="0" borderId="1" xfId="0" applyBorder="1" applyAlignment="1">
      <alignment vertical="top" wrapText="1"/>
    </xf>
    <xf numFmtId="164" fontId="0" fillId="0" borderId="1" xfId="1" applyFont="1" applyBorder="1" applyAlignment="1">
      <alignment vertical="top" wrapText="1"/>
    </xf>
    <xf numFmtId="0" fontId="0" fillId="0" borderId="0" xfId="0" applyAlignment="1">
      <alignment horizontal="center" vertical="top" wrapText="1"/>
    </xf>
    <xf numFmtId="0" fontId="0" fillId="11" borderId="1" xfId="0" applyFill="1" applyBorder="1" applyAlignment="1">
      <alignment horizontal="center" vertical="top" wrapText="1"/>
    </xf>
    <xf numFmtId="0" fontId="0" fillId="0" borderId="1" xfId="0" applyBorder="1" applyAlignment="1">
      <alignment horizontal="center" vertical="top" wrapText="1"/>
    </xf>
    <xf numFmtId="0" fontId="0" fillId="9" borderId="1" xfId="0" applyFill="1" applyBorder="1" applyAlignment="1">
      <alignment horizontal="center" vertical="top" wrapText="1"/>
    </xf>
    <xf numFmtId="0" fontId="4" fillId="6" borderId="1" xfId="0" applyFont="1" applyFill="1" applyBorder="1" applyAlignment="1">
      <alignment vertical="center" wrapText="1"/>
    </xf>
    <xf numFmtId="0" fontId="10" fillId="2" borderId="0" xfId="0" quotePrefix="1" applyFont="1" applyFill="1" applyAlignment="1">
      <alignment vertical="center" wrapText="1"/>
    </xf>
    <xf numFmtId="15" fontId="10" fillId="6" borderId="0" xfId="0" applyNumberFormat="1" applyFont="1" applyFill="1" applyAlignment="1">
      <alignment horizontal="left" vertical="center" wrapText="1"/>
    </xf>
    <xf numFmtId="0" fontId="10" fillId="6" borderId="0" xfId="0" applyFont="1" applyFill="1" applyAlignment="1">
      <alignment vertical="center" wrapText="1"/>
    </xf>
    <xf numFmtId="0" fontId="0" fillId="0" borderId="41" xfId="0" applyBorder="1" applyAlignment="1">
      <alignment vertical="top"/>
    </xf>
    <xf numFmtId="0" fontId="0" fillId="0" borderId="48" xfId="0" applyBorder="1" applyAlignment="1">
      <alignment vertical="top"/>
    </xf>
    <xf numFmtId="0" fontId="0" fillId="0" borderId="19" xfId="0" applyBorder="1" applyAlignment="1">
      <alignment vertical="top"/>
    </xf>
    <xf numFmtId="0" fontId="0" fillId="12" borderId="10" xfId="0" applyFill="1" applyBorder="1" applyAlignment="1">
      <alignment vertical="center" wrapText="1"/>
    </xf>
    <xf numFmtId="0" fontId="0" fillId="12" borderId="0" xfId="0" applyFill="1" applyAlignment="1">
      <alignment horizontal="left" vertical="center" wrapText="1"/>
    </xf>
    <xf numFmtId="0" fontId="0" fillId="12" borderId="42" xfId="0" applyFill="1" applyBorder="1" applyAlignment="1">
      <alignment horizontal="left" vertical="center" wrapText="1"/>
    </xf>
    <xf numFmtId="0" fontId="0" fillId="12" borderId="10" xfId="0" applyFill="1" applyBorder="1" applyAlignment="1">
      <alignment horizontal="left" vertical="center" wrapText="1"/>
    </xf>
    <xf numFmtId="0" fontId="0" fillId="12" borderId="19" xfId="0" applyFill="1" applyBorder="1" applyAlignment="1">
      <alignment horizontal="left" vertical="center" wrapText="1"/>
    </xf>
    <xf numFmtId="0" fontId="0" fillId="12" borderId="48" xfId="0" applyFill="1" applyBorder="1" applyAlignment="1">
      <alignment horizontal="left" vertical="center" wrapText="1"/>
    </xf>
    <xf numFmtId="0" fontId="0" fillId="12" borderId="49" xfId="0" applyFill="1" applyBorder="1" applyAlignment="1">
      <alignment horizontal="left" vertical="center" wrapText="1"/>
    </xf>
    <xf numFmtId="0" fontId="0" fillId="12" borderId="41" xfId="0" applyFill="1" applyBorder="1" applyAlignment="1">
      <alignment horizontal="left" vertical="center" wrapText="1"/>
    </xf>
    <xf numFmtId="0" fontId="14" fillId="10" borderId="52" xfId="0" applyFont="1" applyFill="1" applyBorder="1" applyAlignment="1">
      <alignment horizontal="center" vertical="center" wrapText="1"/>
    </xf>
    <xf numFmtId="0" fontId="2" fillId="4" borderId="30" xfId="0" applyFont="1" applyFill="1" applyBorder="1" applyAlignment="1">
      <alignment horizontal="left" vertical="center"/>
    </xf>
    <xf numFmtId="0" fontId="14" fillId="4" borderId="30" xfId="0" applyFont="1" applyFill="1" applyBorder="1" applyAlignment="1">
      <alignment horizontal="left" vertical="center"/>
    </xf>
    <xf numFmtId="0" fontId="0" fillId="12" borderId="11" xfId="0" applyFill="1" applyBorder="1" applyAlignment="1">
      <alignment horizontal="left" vertical="center" wrapText="1"/>
    </xf>
    <xf numFmtId="9" fontId="0" fillId="0" borderId="0" xfId="0" applyNumberFormat="1" applyAlignment="1">
      <alignment horizontal="center" vertical="center"/>
    </xf>
    <xf numFmtId="0" fontId="3" fillId="7" borderId="0" xfId="0" applyFont="1" applyFill="1" applyAlignment="1">
      <alignment horizontal="left" vertical="center"/>
    </xf>
    <xf numFmtId="0" fontId="2" fillId="7" borderId="0" xfId="0" applyFont="1" applyFill="1" applyAlignment="1">
      <alignment horizontal="center" vertical="center"/>
    </xf>
    <xf numFmtId="0" fontId="3" fillId="7" borderId="0" xfId="0" applyFont="1" applyFill="1" applyAlignment="1">
      <alignment horizontal="center" vertical="center" wrapText="1"/>
    </xf>
    <xf numFmtId="0" fontId="2" fillId="7" borderId="0" xfId="0" applyFont="1" applyFill="1" applyAlignment="1">
      <alignment horizontal="center" vertical="center" wrapText="1"/>
    </xf>
    <xf numFmtId="1" fontId="14" fillId="7" borderId="0" xfId="0" applyNumberFormat="1" applyFont="1" applyFill="1" applyAlignment="1">
      <alignment horizontal="center" vertical="center"/>
    </xf>
    <xf numFmtId="0" fontId="0" fillId="14" borderId="0" xfId="0" applyFill="1" applyAlignment="1">
      <alignment vertical="center"/>
    </xf>
    <xf numFmtId="0" fontId="0" fillId="14" borderId="0" xfId="0" applyFill="1" applyAlignment="1">
      <alignment horizontal="center" vertical="center"/>
    </xf>
    <xf numFmtId="1" fontId="0" fillId="14" borderId="0" xfId="0" applyNumberFormat="1" applyFill="1" applyAlignment="1">
      <alignment horizontal="center" vertical="center"/>
    </xf>
    <xf numFmtId="0" fontId="0" fillId="14" borderId="0" xfId="0" applyFill="1" applyAlignment="1">
      <alignment vertical="center" wrapText="1"/>
    </xf>
    <xf numFmtId="14" fontId="0" fillId="14" borderId="0" xfId="0" applyNumberFormat="1" applyFill="1" applyAlignment="1">
      <alignment horizontal="center" vertical="center"/>
    </xf>
    <xf numFmtId="2" fontId="15" fillId="14" borderId="0" xfId="0" applyNumberFormat="1" applyFont="1" applyFill="1" applyAlignment="1">
      <alignment horizontal="center" vertical="center"/>
    </xf>
    <xf numFmtId="0" fontId="0" fillId="8" borderId="0" xfId="0" applyFill="1" applyAlignment="1">
      <alignment vertical="center"/>
    </xf>
    <xf numFmtId="0" fontId="0" fillId="8" borderId="0" xfId="0" applyFill="1" applyAlignment="1">
      <alignment horizontal="center" vertical="center"/>
    </xf>
    <xf numFmtId="1" fontId="0" fillId="8" borderId="0" xfId="0" applyNumberFormat="1" applyFill="1" applyAlignment="1">
      <alignment horizontal="center" vertical="center"/>
    </xf>
    <xf numFmtId="14" fontId="0" fillId="8" borderId="0" xfId="0" applyNumberFormat="1" applyFill="1" applyAlignment="1">
      <alignment horizontal="center" vertical="center"/>
    </xf>
    <xf numFmtId="2" fontId="15" fillId="8" borderId="0" xfId="0" applyNumberFormat="1" applyFont="1" applyFill="1" applyAlignment="1">
      <alignment horizontal="center" vertical="center"/>
    </xf>
    <xf numFmtId="0" fontId="0" fillId="15" borderId="0" xfId="0" applyFill="1" applyAlignment="1">
      <alignment vertical="center"/>
    </xf>
    <xf numFmtId="0" fontId="0" fillId="15" borderId="0" xfId="0" applyFill="1" applyAlignment="1">
      <alignment horizontal="center" vertical="center"/>
    </xf>
    <xf numFmtId="1" fontId="0" fillId="15" borderId="0" xfId="0" applyNumberFormat="1" applyFill="1" applyAlignment="1">
      <alignment horizontal="center" vertical="center"/>
    </xf>
    <xf numFmtId="0" fontId="0" fillId="15" borderId="1" xfId="0" applyFill="1" applyBorder="1" applyAlignment="1">
      <alignment horizontal="center" vertical="center"/>
    </xf>
    <xf numFmtId="0" fontId="0" fillId="14" borderId="1" xfId="0" applyFill="1" applyBorder="1" applyAlignment="1">
      <alignment horizontal="center" vertical="center"/>
    </xf>
    <xf numFmtId="0" fontId="0" fillId="8" borderId="1" xfId="0" applyFill="1" applyBorder="1" applyAlignment="1">
      <alignment horizontal="center" vertical="center"/>
    </xf>
    <xf numFmtId="0" fontId="2" fillId="15" borderId="43" xfId="0" applyFont="1" applyFill="1" applyBorder="1" applyAlignment="1">
      <alignment horizontal="center" vertical="center"/>
    </xf>
    <xf numFmtId="0" fontId="2" fillId="15" borderId="42" xfId="0" applyFont="1" applyFill="1" applyBorder="1" applyAlignment="1">
      <alignment horizontal="center" vertical="center"/>
    </xf>
    <xf numFmtId="0" fontId="2" fillId="15" borderId="14" xfId="0" applyFont="1" applyFill="1" applyBorder="1" applyAlignment="1">
      <alignment horizontal="center" vertical="center"/>
    </xf>
    <xf numFmtId="0" fontId="2" fillId="15" borderId="8" xfId="0" applyFont="1" applyFill="1" applyBorder="1" applyAlignment="1">
      <alignment horizontal="left" vertical="center"/>
    </xf>
    <xf numFmtId="0" fontId="2" fillId="15" borderId="8" xfId="0" applyFont="1" applyFill="1" applyBorder="1" applyAlignment="1">
      <alignment horizontal="center" vertical="center"/>
    </xf>
    <xf numFmtId="0" fontId="14" fillId="15" borderId="8" xfId="0" applyFont="1" applyFill="1" applyBorder="1" applyAlignment="1">
      <alignment horizontal="center" vertical="center" wrapText="1"/>
    </xf>
    <xf numFmtId="0" fontId="2" fillId="15" borderId="33" xfId="0" applyFont="1" applyFill="1" applyBorder="1" applyAlignment="1">
      <alignment horizontal="center" vertical="center"/>
    </xf>
    <xf numFmtId="0" fontId="2" fillId="15" borderId="30" xfId="0" applyFont="1" applyFill="1" applyBorder="1" applyAlignment="1">
      <alignment horizontal="left" vertical="center"/>
      <extLst>
        <ext xmlns:xfpb="http://schemas.microsoft.com/office/spreadsheetml/2022/featurepropertybag" uri="{C7286773-470A-42A8-94C5-96B5CB345126}">
          <xfpb:xfComplement i="0"/>
        </ext>
      </extLst>
    </xf>
    <xf numFmtId="0" fontId="2" fillId="15" borderId="30" xfId="0" applyFont="1" applyFill="1" applyBorder="1" applyAlignment="1">
      <alignment horizontal="center" vertical="center"/>
    </xf>
    <xf numFmtId="0" fontId="14" fillId="15" borderId="30" xfId="0" applyFont="1" applyFill="1" applyBorder="1" applyAlignment="1">
      <alignment horizontal="center" vertical="center" wrapText="1"/>
    </xf>
    <xf numFmtId="0" fontId="16" fillId="15" borderId="7" xfId="0" applyFont="1" applyFill="1" applyBorder="1" applyAlignment="1">
      <alignment horizontal="center" vertical="center" wrapText="1"/>
    </xf>
    <xf numFmtId="0" fontId="2" fillId="4" borderId="53" xfId="0" applyFont="1" applyFill="1" applyBorder="1" applyAlignment="1">
      <alignment horizontal="center" vertical="center"/>
    </xf>
    <xf numFmtId="0" fontId="2" fillId="4" borderId="52" xfId="0" applyFont="1" applyFill="1" applyBorder="1" applyAlignment="1">
      <alignment horizontal="center" vertical="center"/>
    </xf>
    <xf numFmtId="0" fontId="16" fillId="4" borderId="54"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14" fillId="4" borderId="29" xfId="0" applyFont="1" applyFill="1" applyBorder="1" applyAlignment="1">
      <alignment horizontal="center" vertical="center" wrapText="1"/>
    </xf>
    <xf numFmtId="0" fontId="15" fillId="12" borderId="51" xfId="0" applyFont="1" applyFill="1" applyBorder="1" applyAlignment="1">
      <alignment vertical="center" wrapText="1"/>
    </xf>
    <xf numFmtId="0" fontId="15" fillId="12" borderId="46" xfId="0" applyFont="1" applyFill="1" applyBorder="1" applyAlignment="1">
      <alignment vertical="center" wrapText="1"/>
    </xf>
    <xf numFmtId="0" fontId="15" fillId="12" borderId="47" xfId="0" applyFont="1" applyFill="1" applyBorder="1" applyAlignment="1">
      <alignment vertical="center" wrapText="1"/>
    </xf>
    <xf numFmtId="0" fontId="14" fillId="4" borderId="32" xfId="0" applyFont="1" applyFill="1" applyBorder="1" applyAlignment="1">
      <alignment horizontal="center" vertical="center" wrapText="1"/>
    </xf>
    <xf numFmtId="0" fontId="2" fillId="4" borderId="3" xfId="0" applyFont="1" applyFill="1" applyBorder="1" applyAlignment="1">
      <alignment horizontal="center" vertical="center"/>
    </xf>
    <xf numFmtId="0" fontId="2" fillId="4" borderId="6" xfId="0" applyFont="1" applyFill="1" applyBorder="1" applyAlignment="1">
      <alignment horizontal="center" vertical="center"/>
    </xf>
    <xf numFmtId="0" fontId="14" fillId="4" borderId="4" xfId="0" applyFont="1" applyFill="1" applyBorder="1" applyAlignment="1">
      <alignment horizontal="center" vertical="center"/>
    </xf>
    <xf numFmtId="14" fontId="15" fillId="12" borderId="0" xfId="0" applyNumberFormat="1" applyFont="1" applyFill="1" applyAlignment="1">
      <alignment horizontal="left" vertical="center" wrapText="1"/>
    </xf>
    <xf numFmtId="0" fontId="16" fillId="5" borderId="44" xfId="0" applyFont="1" applyFill="1" applyBorder="1" applyAlignment="1">
      <alignment horizontal="center" vertical="center" wrapText="1"/>
    </xf>
    <xf numFmtId="0" fontId="14" fillId="5" borderId="15" xfId="0" applyFont="1" applyFill="1" applyBorder="1" applyAlignment="1">
      <alignment horizontal="center" vertical="center" wrapText="1"/>
    </xf>
    <xf numFmtId="0" fontId="14" fillId="5" borderId="29" xfId="0" applyFont="1" applyFill="1" applyBorder="1" applyAlignment="1">
      <alignment horizontal="center" vertical="center" wrapText="1"/>
    </xf>
    <xf numFmtId="0" fontId="15" fillId="12" borderId="39" xfId="0" applyFont="1" applyFill="1" applyBorder="1" applyAlignment="1">
      <alignment vertical="center" wrapText="1"/>
    </xf>
    <xf numFmtId="0" fontId="15" fillId="12" borderId="44" xfId="0" applyFont="1" applyFill="1" applyBorder="1" applyAlignment="1">
      <alignment vertical="center" wrapText="1"/>
    </xf>
    <xf numFmtId="0" fontId="14" fillId="5" borderId="29" xfId="0" applyFont="1" applyFill="1" applyBorder="1" applyAlignment="1">
      <alignment horizontal="center" vertical="center"/>
    </xf>
    <xf numFmtId="0" fontId="2" fillId="7" borderId="12" xfId="0" applyFont="1" applyFill="1" applyBorder="1" applyAlignment="1">
      <alignment horizontal="center" vertical="center"/>
    </xf>
    <xf numFmtId="0" fontId="0" fillId="14" borderId="12" xfId="0" applyFill="1" applyBorder="1" applyAlignment="1">
      <alignment horizontal="center" vertical="center"/>
    </xf>
    <xf numFmtId="1" fontId="0" fillId="0" borderId="12" xfId="0" applyNumberFormat="1" applyBorder="1" applyAlignment="1">
      <alignment horizontal="center" vertical="center"/>
    </xf>
    <xf numFmtId="14" fontId="0" fillId="0" borderId="12" xfId="0" applyNumberFormat="1" applyBorder="1" applyAlignment="1">
      <alignment horizontal="center" vertical="center"/>
    </xf>
    <xf numFmtId="1" fontId="0" fillId="14" borderId="12" xfId="0" applyNumberFormat="1" applyFill="1" applyBorder="1" applyAlignment="1">
      <alignment horizontal="center" vertical="center"/>
    </xf>
    <xf numFmtId="0" fontId="0" fillId="15" borderId="12" xfId="0" applyFill="1" applyBorder="1" applyAlignment="1">
      <alignment horizontal="center" vertical="center"/>
    </xf>
    <xf numFmtId="0" fontId="0" fillId="8" borderId="12" xfId="0" applyFill="1" applyBorder="1" applyAlignment="1">
      <alignment horizontal="center" vertical="center"/>
    </xf>
    <xf numFmtId="1" fontId="0" fillId="8" borderId="12" xfId="0" applyNumberFormat="1" applyFill="1" applyBorder="1" applyAlignment="1">
      <alignment horizontal="center" vertical="center"/>
    </xf>
    <xf numFmtId="0" fontId="0" fillId="7" borderId="9" xfId="0" applyFill="1" applyBorder="1" applyAlignment="1">
      <alignment horizontal="left" vertical="center"/>
    </xf>
    <xf numFmtId="0" fontId="0" fillId="14" borderId="9" xfId="0" applyFill="1" applyBorder="1" applyAlignment="1">
      <alignment horizontal="left" vertical="center"/>
    </xf>
    <xf numFmtId="0" fontId="0" fillId="15" borderId="9" xfId="0" applyFill="1" applyBorder="1" applyAlignment="1">
      <alignment horizontal="left" vertical="center"/>
    </xf>
    <xf numFmtId="0" fontId="0" fillId="8" borderId="9" xfId="0" applyFill="1" applyBorder="1" applyAlignment="1">
      <alignment horizontal="left"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7" xfId="0" applyFont="1" applyFill="1" applyBorder="1" applyAlignment="1">
      <alignment horizontal="center" vertical="center" wrapText="1"/>
    </xf>
    <xf numFmtId="1" fontId="14" fillId="2" borderId="17" xfId="0" applyNumberFormat="1" applyFont="1" applyFill="1" applyBorder="1" applyAlignment="1">
      <alignment horizontal="center" vertical="top"/>
    </xf>
    <xf numFmtId="0" fontId="2" fillId="2" borderId="17" xfId="0" applyFont="1" applyFill="1" applyBorder="1" applyAlignment="1">
      <alignment horizontal="center" vertical="top"/>
    </xf>
    <xf numFmtId="0" fontId="2" fillId="2" borderId="18" xfId="0" applyFont="1" applyFill="1" applyBorder="1" applyAlignment="1">
      <alignment horizontal="center" vertical="top"/>
    </xf>
    <xf numFmtId="0" fontId="6" fillId="6" borderId="2" xfId="0" applyFont="1" applyFill="1" applyBorder="1" applyAlignment="1">
      <alignment horizontal="center" vertical="top" wrapText="1"/>
    </xf>
    <xf numFmtId="0" fontId="21" fillId="2" borderId="1" xfId="2" applyFill="1" applyBorder="1" applyAlignment="1">
      <alignment vertical="center"/>
    </xf>
    <xf numFmtId="0" fontId="8" fillId="2" borderId="5"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11" fillId="0" borderId="14" xfId="0" applyFont="1" applyBorder="1" applyAlignment="1">
      <alignment vertical="top" wrapText="1"/>
    </xf>
    <xf numFmtId="0" fontId="11" fillId="0" borderId="8" xfId="0" applyFont="1" applyBorder="1" applyAlignment="1">
      <alignment vertical="top" wrapText="1"/>
    </xf>
    <xf numFmtId="0" fontId="11" fillId="0" borderId="15" xfId="0" applyFont="1" applyBorder="1" applyAlignment="1">
      <alignment vertical="top" wrapText="1"/>
    </xf>
    <xf numFmtId="0" fontId="11" fillId="0" borderId="33" xfId="0" applyFont="1" applyBorder="1" applyAlignment="1">
      <alignment vertical="top" wrapText="1"/>
    </xf>
    <xf numFmtId="0" fontId="11" fillId="0" borderId="30" xfId="0" applyFont="1" applyBorder="1" applyAlignment="1">
      <alignment vertical="top" wrapText="1"/>
    </xf>
    <xf numFmtId="0" fontId="11" fillId="0" borderId="29" xfId="0" applyFont="1" applyBorder="1" applyAlignment="1">
      <alignment vertical="top" wrapText="1"/>
    </xf>
    <xf numFmtId="0" fontId="4" fillId="2" borderId="5" xfId="0" applyFont="1" applyFill="1" applyBorder="1" applyAlignment="1">
      <alignment vertical="center" wrapText="1"/>
    </xf>
    <xf numFmtId="0" fontId="4" fillId="2" borderId="28" xfId="0" applyFont="1" applyFill="1" applyBorder="1" applyAlignment="1">
      <alignment vertical="center" wrapText="1"/>
    </xf>
    <xf numFmtId="0" fontId="8" fillId="2" borderId="5" xfId="0" applyFont="1" applyFill="1" applyBorder="1" applyAlignment="1">
      <alignment horizontal="center" vertical="top" wrapText="1"/>
    </xf>
    <xf numFmtId="0" fontId="8" fillId="2" borderId="31" xfId="0" applyFont="1" applyFill="1" applyBorder="1" applyAlignment="1">
      <alignment horizontal="center" vertical="top" wrapText="1"/>
    </xf>
    <xf numFmtId="0" fontId="8" fillId="2" borderId="28" xfId="0" applyFont="1" applyFill="1" applyBorder="1" applyAlignment="1">
      <alignment horizontal="center" vertical="top" wrapText="1"/>
    </xf>
    <xf numFmtId="0" fontId="10" fillId="2" borderId="14" xfId="0" applyFont="1" applyFill="1" applyBorder="1" applyAlignment="1">
      <alignment vertical="center" wrapText="1"/>
    </xf>
    <xf numFmtId="0" fontId="10" fillId="2" borderId="8" xfId="0" applyFont="1" applyFill="1" applyBorder="1" applyAlignment="1">
      <alignment vertical="center" wrapText="1"/>
    </xf>
    <xf numFmtId="0" fontId="10" fillId="2" borderId="15" xfId="0" applyFont="1" applyFill="1" applyBorder="1" applyAlignment="1">
      <alignment vertical="center" wrapText="1"/>
    </xf>
    <xf numFmtId="0" fontId="10" fillId="0" borderId="34" xfId="0" applyFont="1" applyBorder="1" applyAlignment="1">
      <alignment vertical="top" wrapText="1"/>
    </xf>
    <xf numFmtId="0" fontId="10" fillId="0" borderId="0" xfId="0" applyFont="1" applyAlignment="1">
      <alignment vertical="top" wrapText="1"/>
    </xf>
    <xf numFmtId="0" fontId="10" fillId="0" borderId="32" xfId="0" applyFont="1" applyBorder="1" applyAlignment="1">
      <alignment vertical="top" wrapText="1"/>
    </xf>
    <xf numFmtId="0" fontId="11" fillId="0" borderId="33" xfId="0" applyFont="1" applyBorder="1" applyAlignment="1">
      <alignment vertical="center" wrapText="1"/>
    </xf>
    <xf numFmtId="0" fontId="11" fillId="0" borderId="30" xfId="0" applyFont="1" applyBorder="1" applyAlignment="1">
      <alignment vertical="center" wrapText="1"/>
    </xf>
    <xf numFmtId="0" fontId="11" fillId="0" borderId="29" xfId="0" applyFont="1" applyBorder="1" applyAlignment="1">
      <alignment vertical="center" wrapText="1"/>
    </xf>
    <xf numFmtId="0" fontId="10" fillId="0" borderId="14" xfId="0" applyFont="1" applyBorder="1" applyAlignment="1">
      <alignment vertical="center" wrapText="1"/>
    </xf>
    <xf numFmtId="0" fontId="10" fillId="0" borderId="8" xfId="0" applyFont="1" applyBorder="1" applyAlignment="1">
      <alignment vertical="center" wrapText="1"/>
    </xf>
    <xf numFmtId="0" fontId="10" fillId="0" borderId="15" xfId="0" applyFont="1" applyBorder="1" applyAlignment="1">
      <alignment vertical="center" wrapText="1"/>
    </xf>
    <xf numFmtId="0" fontId="10" fillId="0" borderId="34" xfId="0" applyFont="1" applyBorder="1" applyAlignment="1">
      <alignment vertical="center" wrapText="1"/>
    </xf>
    <xf numFmtId="0" fontId="10" fillId="0" borderId="0" xfId="0" applyFont="1" applyAlignment="1">
      <alignment vertical="center" wrapText="1"/>
    </xf>
    <xf numFmtId="0" fontId="10" fillId="0" borderId="32" xfId="0" applyFont="1" applyBorder="1" applyAlignment="1">
      <alignment vertical="center" wrapText="1"/>
    </xf>
    <xf numFmtId="0" fontId="11" fillId="0" borderId="14" xfId="0" applyFont="1" applyBorder="1" applyAlignment="1">
      <alignment vertical="center" wrapText="1"/>
    </xf>
    <xf numFmtId="0" fontId="11" fillId="0" borderId="8" xfId="0" applyFont="1" applyBorder="1" applyAlignment="1">
      <alignment vertical="center" wrapText="1"/>
    </xf>
    <xf numFmtId="0" fontId="11" fillId="0" borderId="15" xfId="0" applyFont="1" applyBorder="1" applyAlignment="1">
      <alignment vertical="center" wrapText="1"/>
    </xf>
    <xf numFmtId="0" fontId="11" fillId="0" borderId="34" xfId="0" applyFont="1" applyBorder="1" applyAlignment="1">
      <alignment vertical="center" wrapText="1"/>
    </xf>
    <xf numFmtId="0" fontId="11" fillId="0" borderId="0" xfId="0" applyFont="1" applyAlignment="1">
      <alignment vertical="center" wrapText="1"/>
    </xf>
    <xf numFmtId="0" fontId="11" fillId="0" borderId="32" xfId="0" applyFont="1" applyBorder="1" applyAlignment="1">
      <alignment vertical="center" wrapText="1"/>
    </xf>
    <xf numFmtId="0" fontId="11" fillId="0" borderId="16" xfId="0" applyFont="1" applyBorder="1" applyAlignment="1">
      <alignment vertical="center" wrapText="1"/>
    </xf>
    <xf numFmtId="0" fontId="11" fillId="0" borderId="17" xfId="0" applyFont="1" applyBorder="1" applyAlignment="1">
      <alignment vertical="center" wrapText="1"/>
    </xf>
    <xf numFmtId="0" fontId="11" fillId="0" borderId="35" xfId="0" applyFont="1" applyBorder="1" applyAlignment="1">
      <alignment vertical="center" wrapText="1"/>
    </xf>
    <xf numFmtId="0" fontId="11" fillId="0" borderId="36" xfId="0" applyFont="1" applyBorder="1" applyAlignment="1">
      <alignment vertical="center" wrapText="1"/>
    </xf>
    <xf numFmtId="0" fontId="11" fillId="0" borderId="37" xfId="0" applyFont="1" applyBorder="1" applyAlignment="1">
      <alignment vertical="center" wrapText="1"/>
    </xf>
    <xf numFmtId="0" fontId="11" fillId="0" borderId="38" xfId="0" applyFont="1" applyBorder="1" applyAlignment="1">
      <alignment vertical="center" wrapText="1"/>
    </xf>
    <xf numFmtId="0" fontId="11" fillId="0" borderId="10" xfId="0" applyFont="1" applyBorder="1" applyAlignment="1">
      <alignment vertical="center" wrapText="1"/>
    </xf>
    <xf numFmtId="0" fontId="11" fillId="0" borderId="11" xfId="0" applyFont="1" applyBorder="1" applyAlignment="1">
      <alignment vertical="center" wrapText="1"/>
    </xf>
    <xf numFmtId="0" fontId="11" fillId="0" borderId="39" xfId="0" applyFont="1" applyBorder="1" applyAlignment="1">
      <alignment vertical="center" wrapText="1"/>
    </xf>
    <xf numFmtId="0" fontId="11" fillId="0" borderId="23" xfId="0" applyFont="1" applyBorder="1" applyAlignment="1">
      <alignment vertical="center" wrapText="1"/>
    </xf>
    <xf numFmtId="0" fontId="11" fillId="0" borderId="24" xfId="0" applyFont="1" applyBorder="1" applyAlignment="1">
      <alignment vertical="center" wrapText="1"/>
    </xf>
    <xf numFmtId="0" fontId="11" fillId="0" borderId="25" xfId="0" applyFont="1" applyBorder="1" applyAlignment="1">
      <alignment vertical="center" wrapText="1"/>
    </xf>
    <xf numFmtId="0" fontId="4" fillId="2" borderId="5" xfId="0" applyFont="1" applyFill="1" applyBorder="1" applyAlignment="1">
      <alignment vertical="top" wrapText="1"/>
    </xf>
    <xf numFmtId="0" fontId="4" fillId="2" borderId="31" xfId="0" applyFont="1" applyFill="1" applyBorder="1" applyAlignment="1">
      <alignment vertical="top" wrapText="1"/>
    </xf>
    <xf numFmtId="0" fontId="4" fillId="2" borderId="28" xfId="0" applyFont="1" applyFill="1" applyBorder="1" applyAlignment="1">
      <alignment vertical="top" wrapText="1"/>
    </xf>
    <xf numFmtId="0" fontId="10" fillId="2" borderId="33" xfId="0" applyFont="1" applyFill="1" applyBorder="1" applyAlignment="1">
      <alignment vertical="center" wrapText="1"/>
    </xf>
    <xf numFmtId="0" fontId="10" fillId="2" borderId="30" xfId="0" applyFont="1" applyFill="1" applyBorder="1" applyAlignment="1">
      <alignment vertical="center" wrapText="1"/>
    </xf>
    <xf numFmtId="0" fontId="10" fillId="2" borderId="29" xfId="0" applyFont="1" applyFill="1" applyBorder="1" applyAlignment="1">
      <alignment vertical="center" wrapText="1"/>
    </xf>
    <xf numFmtId="0" fontId="10" fillId="0" borderId="33" xfId="0" applyFont="1" applyBorder="1" applyAlignment="1">
      <alignment vertical="center" wrapText="1"/>
    </xf>
    <xf numFmtId="0" fontId="10" fillId="0" borderId="30" xfId="0" applyFont="1" applyBorder="1" applyAlignment="1">
      <alignment vertical="center" wrapText="1"/>
    </xf>
    <xf numFmtId="0" fontId="10" fillId="0" borderId="29" xfId="0" applyFont="1" applyBorder="1" applyAlignment="1">
      <alignment vertical="center" wrapText="1"/>
    </xf>
    <xf numFmtId="0" fontId="9" fillId="2" borderId="5" xfId="0" applyFont="1" applyFill="1" applyBorder="1" applyAlignment="1">
      <alignment vertical="center" wrapText="1"/>
    </xf>
    <xf numFmtId="0" fontId="9" fillId="2" borderId="28" xfId="0" applyFont="1" applyFill="1" applyBorder="1" applyAlignment="1">
      <alignment vertical="center" wrapText="1"/>
    </xf>
    <xf numFmtId="0" fontId="9" fillId="2" borderId="5" xfId="0" applyFont="1" applyFill="1" applyBorder="1" applyAlignment="1">
      <alignment vertical="top" wrapText="1"/>
    </xf>
    <xf numFmtId="0" fontId="9" fillId="2" borderId="28" xfId="0" applyFont="1" applyFill="1" applyBorder="1" applyAlignment="1">
      <alignment vertical="top" wrapText="1"/>
    </xf>
    <xf numFmtId="0" fontId="10" fillId="2" borderId="34" xfId="0" applyFont="1" applyFill="1" applyBorder="1" applyAlignment="1">
      <alignment vertical="center" wrapText="1"/>
    </xf>
    <xf numFmtId="0" fontId="10" fillId="2" borderId="0" xfId="0" applyFont="1" applyFill="1" applyAlignment="1">
      <alignment vertical="center" wrapText="1"/>
    </xf>
    <xf numFmtId="0" fontId="10" fillId="2" borderId="32" xfId="0" applyFont="1" applyFill="1" applyBorder="1" applyAlignment="1">
      <alignment vertical="center" wrapText="1"/>
    </xf>
    <xf numFmtId="0" fontId="13" fillId="0" borderId="5" xfId="0" applyFont="1" applyBorder="1" applyAlignment="1">
      <alignment vertical="center" wrapText="1"/>
    </xf>
    <xf numFmtId="0" fontId="13" fillId="0" borderId="28" xfId="0" applyFont="1" applyBorder="1" applyAlignment="1">
      <alignment vertical="center" wrapText="1"/>
    </xf>
    <xf numFmtId="0" fontId="6" fillId="0" borderId="31" xfId="0" applyFont="1" applyBorder="1" applyAlignment="1">
      <alignment horizontal="left" vertical="top" wrapText="1"/>
    </xf>
    <xf numFmtId="0" fontId="13" fillId="0" borderId="31" xfId="0" applyFont="1" applyBorder="1" applyAlignment="1">
      <alignment horizontal="left" vertical="top" wrapText="1"/>
    </xf>
    <xf numFmtId="0" fontId="13" fillId="0" borderId="5" xfId="0" applyFont="1" applyBorder="1" applyAlignment="1">
      <alignment vertical="top" wrapText="1"/>
    </xf>
    <xf numFmtId="0" fontId="13" fillId="0" borderId="31" xfId="0" applyFont="1" applyBorder="1" applyAlignment="1">
      <alignment vertical="top" wrapText="1"/>
    </xf>
    <xf numFmtId="0" fontId="13" fillId="0" borderId="28" xfId="0" applyFont="1" applyBorder="1" applyAlignment="1">
      <alignment vertical="top" wrapText="1"/>
    </xf>
    <xf numFmtId="0" fontId="8" fillId="6" borderId="5" xfId="0" applyFont="1" applyFill="1" applyBorder="1" applyAlignment="1">
      <alignment horizontal="center" vertical="center" wrapText="1"/>
    </xf>
    <xf numFmtId="0" fontId="8" fillId="6" borderId="28" xfId="0" applyFont="1" applyFill="1" applyBorder="1" applyAlignment="1">
      <alignment horizontal="center" vertical="center" wrapText="1"/>
    </xf>
    <xf numFmtId="0" fontId="10" fillId="0" borderId="16" xfId="0" applyFont="1" applyBorder="1" applyAlignment="1">
      <alignment vertical="center" wrapText="1"/>
    </xf>
    <xf numFmtId="0" fontId="10" fillId="0" borderId="17" xfId="0" applyFont="1" applyBorder="1" applyAlignment="1">
      <alignment vertical="center" wrapText="1"/>
    </xf>
    <xf numFmtId="0" fontId="10" fillId="0" borderId="35" xfId="0" applyFont="1" applyBorder="1" applyAlignment="1">
      <alignment vertical="center" wrapText="1"/>
    </xf>
    <xf numFmtId="0" fontId="0" fillId="0" borderId="14" xfId="0" applyBorder="1" applyAlignment="1">
      <alignment vertical="center" wrapText="1"/>
    </xf>
    <xf numFmtId="0" fontId="0" fillId="0" borderId="8" xfId="0" applyBorder="1" applyAlignment="1">
      <alignment vertical="center" wrapText="1"/>
    </xf>
    <xf numFmtId="0" fontId="0" fillId="0" borderId="15"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12" fillId="0" borderId="5" xfId="0" applyFont="1" applyBorder="1" applyAlignment="1">
      <alignment vertical="top" wrapText="1"/>
    </xf>
    <xf numFmtId="0" fontId="12" fillId="0" borderId="31" xfId="0" applyFont="1" applyBorder="1" applyAlignment="1">
      <alignment vertical="top" wrapText="1"/>
    </xf>
    <xf numFmtId="0" fontId="12" fillId="0" borderId="28" xfId="0" applyFont="1" applyBorder="1" applyAlignment="1">
      <alignment vertical="top" wrapText="1"/>
    </xf>
    <xf numFmtId="0" fontId="11" fillId="0" borderId="33"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29"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5" xfId="0" applyFont="1" applyBorder="1" applyAlignment="1">
      <alignment horizontal="center" vertical="center" wrapText="1"/>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vid.jong@senecapolytechnic.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9882-2AAA-41ED-8211-8BF862E5849E}">
  <sheetPr codeName="Sheet1"/>
  <dimension ref="B2:D24"/>
  <sheetViews>
    <sheetView view="pageBreakPreview" zoomScale="90" zoomScaleNormal="100" zoomScaleSheetLayoutView="100" workbookViewId="0">
      <selection activeCell="C9" sqref="C9"/>
    </sheetView>
  </sheetViews>
  <sheetFormatPr defaultColWidth="9.1796875" defaultRowHeight="15.5" x14ac:dyDescent="0.35"/>
  <cols>
    <col min="1" max="1" width="9.1796875" style="7"/>
    <col min="2" max="2" width="28.36328125" style="7" customWidth="1"/>
    <col min="3" max="3" width="51.453125" style="7" customWidth="1"/>
    <col min="4" max="4" width="13" style="7" customWidth="1"/>
    <col min="5" max="16384" width="9.1796875" style="7"/>
  </cols>
  <sheetData>
    <row r="2" spans="2:4" x14ac:dyDescent="0.35">
      <c r="C2" s="64" t="s">
        <v>0</v>
      </c>
    </row>
    <row r="3" spans="2:4" x14ac:dyDescent="0.35">
      <c r="B3" s="5" t="s">
        <v>1</v>
      </c>
      <c r="C3" s="8" t="s">
        <v>675</v>
      </c>
      <c r="D3" s="5"/>
    </row>
    <row r="4" spans="2:4" x14ac:dyDescent="0.35">
      <c r="B4" s="5" t="s">
        <v>2</v>
      </c>
      <c r="C4" s="8" t="s">
        <v>674</v>
      </c>
      <c r="D4" s="5"/>
    </row>
    <row r="5" spans="2:4" x14ac:dyDescent="0.35">
      <c r="B5" s="5" t="s">
        <v>3</v>
      </c>
      <c r="C5" s="228" t="s">
        <v>676</v>
      </c>
      <c r="D5" s="5"/>
    </row>
    <row r="6" spans="2:4" x14ac:dyDescent="0.35">
      <c r="B6" s="5"/>
      <c r="C6" s="5"/>
      <c r="D6" s="5"/>
    </row>
    <row r="7" spans="2:4" x14ac:dyDescent="0.35">
      <c r="B7" s="5"/>
      <c r="C7" s="5"/>
      <c r="D7" s="5"/>
    </row>
    <row r="8" spans="2:4" x14ac:dyDescent="0.35">
      <c r="B8" s="5" t="s">
        <v>4</v>
      </c>
      <c r="C8" s="19" t="s">
        <v>213</v>
      </c>
      <c r="D8" s="5"/>
    </row>
    <row r="9" spans="2:4" x14ac:dyDescent="0.35">
      <c r="B9" s="5" t="s">
        <v>6</v>
      </c>
      <c r="C9" s="19"/>
      <c r="D9" s="5"/>
    </row>
    <row r="10" spans="2:4" x14ac:dyDescent="0.35">
      <c r="B10" s="5" t="s">
        <v>7</v>
      </c>
      <c r="C10" s="19"/>
      <c r="D10" s="5"/>
    </row>
    <row r="11" spans="2:4" x14ac:dyDescent="0.35">
      <c r="B11" s="5"/>
      <c r="C11" s="5"/>
      <c r="D11" s="5"/>
    </row>
    <row r="12" spans="2:4" x14ac:dyDescent="0.35">
      <c r="B12" s="5"/>
      <c r="C12" s="5"/>
      <c r="D12" s="5"/>
    </row>
    <row r="13" spans="2:4" ht="34.5" customHeight="1" x14ac:dyDescent="0.35">
      <c r="B13" s="11" t="s">
        <v>8</v>
      </c>
      <c r="C13" s="20"/>
      <c r="D13" s="5"/>
    </row>
    <row r="14" spans="2:4" x14ac:dyDescent="0.35">
      <c r="B14" s="5" t="s">
        <v>9</v>
      </c>
      <c r="C14" s="20"/>
      <c r="D14" s="7" t="s">
        <v>10</v>
      </c>
    </row>
    <row r="15" spans="2:4" x14ac:dyDescent="0.35">
      <c r="B15" s="5" t="s">
        <v>11</v>
      </c>
      <c r="C15" s="6"/>
      <c r="D15" s="7" t="s">
        <v>10</v>
      </c>
    </row>
    <row r="16" spans="2:4" x14ac:dyDescent="0.35">
      <c r="B16" s="5" t="s">
        <v>12</v>
      </c>
      <c r="C16" s="20"/>
      <c r="D16" s="7" t="s">
        <v>13</v>
      </c>
    </row>
    <row r="17" spans="2:4" x14ac:dyDescent="0.35">
      <c r="B17" s="5" t="s">
        <v>14</v>
      </c>
      <c r="C17" s="6"/>
      <c r="D17" s="7" t="s">
        <v>13</v>
      </c>
    </row>
    <row r="18" spans="2:4" x14ac:dyDescent="0.35">
      <c r="B18" s="5"/>
      <c r="C18" s="5"/>
      <c r="D18" s="5"/>
    </row>
    <row r="20" spans="2:4" x14ac:dyDescent="0.35">
      <c r="B20" s="5"/>
      <c r="C20" s="5"/>
      <c r="D20" s="5"/>
    </row>
    <row r="21" spans="2:4" x14ac:dyDescent="0.35">
      <c r="B21" s="5" t="s">
        <v>15</v>
      </c>
      <c r="C21" s="8" t="s">
        <v>16</v>
      </c>
      <c r="D21" s="9">
        <v>46146</v>
      </c>
    </row>
    <row r="22" spans="2:4" x14ac:dyDescent="0.35">
      <c r="B22" s="5" t="s">
        <v>17</v>
      </c>
      <c r="C22" s="10" t="s">
        <v>677</v>
      </c>
      <c r="D22" s="9">
        <f>Summary!$D$21+1</f>
        <v>46147</v>
      </c>
    </row>
    <row r="23" spans="2:4" x14ac:dyDescent="0.35">
      <c r="B23" s="5" t="s">
        <v>18</v>
      </c>
      <c r="C23" s="10" t="s">
        <v>19</v>
      </c>
      <c r="D23" s="9">
        <f>Summary!$D$21+3</f>
        <v>46149</v>
      </c>
    </row>
    <row r="24" spans="2:4" x14ac:dyDescent="0.35">
      <c r="B24" s="5" t="s">
        <v>20</v>
      </c>
      <c r="C24" s="8" t="s">
        <v>21</v>
      </c>
      <c r="D24" s="9">
        <f>Summary!$D$21+6+7</f>
        <v>46159</v>
      </c>
    </row>
  </sheetData>
  <hyperlinks>
    <hyperlink ref="C5" r:id="rId1" xr:uid="{C2E50731-47E7-4A4A-B439-9F789CC4CC81}"/>
  </hyperlinks>
  <pageMargins left="0.7" right="0.7" top="0.75" bottom="0.75" header="0.3" footer="0.3"/>
  <pageSetup scale="85"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7F6DC-EB3E-46EE-988C-ED25A0911F3E}">
  <sheetPr codeName="Sheet4"/>
  <dimension ref="B2:L18"/>
  <sheetViews>
    <sheetView view="pageBreakPreview" zoomScale="85" zoomScaleNormal="85" zoomScaleSheetLayoutView="85" workbookViewId="0">
      <selection activeCell="H13" sqref="H13"/>
    </sheetView>
  </sheetViews>
  <sheetFormatPr defaultColWidth="9.1796875" defaultRowHeight="14.5" x14ac:dyDescent="0.35"/>
  <cols>
    <col min="1" max="1" width="3.81640625" style="129" customWidth="1"/>
    <col min="2" max="2" width="6.453125" style="133" customWidth="1"/>
    <col min="3" max="3" width="19.453125" style="129" customWidth="1"/>
    <col min="4" max="4" width="31.81640625" style="129" customWidth="1"/>
    <col min="5" max="5" width="18.36328125" style="129" customWidth="1"/>
    <col min="6" max="6" width="8" style="133" customWidth="1"/>
    <col min="7" max="7" width="12.36328125" style="129" customWidth="1"/>
    <col min="8" max="9" width="10.6328125" style="129" customWidth="1"/>
    <col min="10" max="10" width="6.453125" style="133" customWidth="1"/>
    <col min="11" max="12" width="44.36328125" style="129" customWidth="1"/>
    <col min="13" max="16384" width="9.1796875" style="129"/>
  </cols>
  <sheetData>
    <row r="2" spans="2:12" x14ac:dyDescent="0.35">
      <c r="C2" s="26" t="s">
        <v>22</v>
      </c>
    </row>
    <row r="4" spans="2:12" x14ac:dyDescent="0.35">
      <c r="B4" s="134" t="s">
        <v>23</v>
      </c>
      <c r="C4" s="130" t="s">
        <v>24</v>
      </c>
      <c r="D4" s="130" t="s">
        <v>25</v>
      </c>
      <c r="E4" s="130" t="s">
        <v>26</v>
      </c>
      <c r="F4" s="134" t="s">
        <v>27</v>
      </c>
      <c r="G4" s="130" t="s">
        <v>28</v>
      </c>
      <c r="H4" s="130" t="s">
        <v>29</v>
      </c>
      <c r="I4" s="130" t="s">
        <v>30</v>
      </c>
      <c r="J4" s="134" t="s">
        <v>23</v>
      </c>
      <c r="K4" s="130" t="s">
        <v>31</v>
      </c>
      <c r="L4" s="130" t="s">
        <v>32</v>
      </c>
    </row>
    <row r="5" spans="2:12" x14ac:dyDescent="0.35">
      <c r="B5" s="136">
        <v>1</v>
      </c>
      <c r="C5" s="131"/>
      <c r="D5" s="131"/>
      <c r="E5" s="131"/>
      <c r="F5" s="135">
        <v>2</v>
      </c>
      <c r="G5" s="132">
        <v>3.5</v>
      </c>
      <c r="H5" s="132">
        <f>F5*G5</f>
        <v>7</v>
      </c>
      <c r="I5" s="132"/>
      <c r="J5" s="136">
        <f>B5</f>
        <v>1</v>
      </c>
      <c r="K5" s="131"/>
      <c r="L5" s="131"/>
    </row>
    <row r="6" spans="2:12" x14ac:dyDescent="0.35">
      <c r="B6" s="136">
        <v>2</v>
      </c>
      <c r="C6" s="131"/>
      <c r="D6" s="131"/>
      <c r="E6" s="131"/>
      <c r="F6" s="135">
        <v>3</v>
      </c>
      <c r="G6" s="132">
        <v>3</v>
      </c>
      <c r="H6" s="132">
        <f>F6*G6</f>
        <v>9</v>
      </c>
      <c r="I6" s="132"/>
      <c r="J6" s="136">
        <f t="shared" ref="J6:J17" si="0">B6</f>
        <v>2</v>
      </c>
      <c r="K6" s="131"/>
      <c r="L6" s="131"/>
    </row>
    <row r="7" spans="2:12" x14ac:dyDescent="0.35">
      <c r="B7" s="136">
        <v>3</v>
      </c>
      <c r="C7" s="131"/>
      <c r="D7" s="131"/>
      <c r="E7" s="131"/>
      <c r="F7" s="135"/>
      <c r="G7" s="132"/>
      <c r="H7" s="132">
        <f t="shared" ref="H7:H17" si="1">F7*G7</f>
        <v>0</v>
      </c>
      <c r="I7" s="132"/>
      <c r="J7" s="136">
        <f t="shared" si="0"/>
        <v>3</v>
      </c>
      <c r="K7" s="131"/>
      <c r="L7" s="131"/>
    </row>
    <row r="8" spans="2:12" x14ac:dyDescent="0.35">
      <c r="B8" s="136">
        <v>4</v>
      </c>
      <c r="C8" s="131"/>
      <c r="D8" s="131"/>
      <c r="E8" s="131"/>
      <c r="F8" s="135"/>
      <c r="G8" s="132"/>
      <c r="H8" s="132">
        <f t="shared" si="1"/>
        <v>0</v>
      </c>
      <c r="I8" s="132"/>
      <c r="J8" s="136">
        <f t="shared" si="0"/>
        <v>4</v>
      </c>
      <c r="K8" s="131"/>
      <c r="L8" s="131"/>
    </row>
    <row r="9" spans="2:12" x14ac:dyDescent="0.35">
      <c r="B9" s="136">
        <v>5</v>
      </c>
      <c r="C9" s="131"/>
      <c r="D9" s="131"/>
      <c r="E9" s="131"/>
      <c r="F9" s="135"/>
      <c r="G9" s="132"/>
      <c r="H9" s="132">
        <f t="shared" si="1"/>
        <v>0</v>
      </c>
      <c r="I9" s="132"/>
      <c r="J9" s="136">
        <f t="shared" si="0"/>
        <v>5</v>
      </c>
      <c r="K9" s="131"/>
      <c r="L9" s="131"/>
    </row>
    <row r="10" spans="2:12" x14ac:dyDescent="0.35">
      <c r="B10" s="136"/>
      <c r="C10" s="131"/>
      <c r="D10" s="131"/>
      <c r="E10" s="131"/>
      <c r="F10" s="135"/>
      <c r="G10" s="132"/>
      <c r="H10" s="132">
        <f t="shared" si="1"/>
        <v>0</v>
      </c>
      <c r="I10" s="132"/>
      <c r="J10" s="136">
        <f t="shared" si="0"/>
        <v>0</v>
      </c>
      <c r="K10" s="131"/>
      <c r="L10" s="131"/>
    </row>
    <row r="11" spans="2:12" x14ac:dyDescent="0.35">
      <c r="B11" s="136"/>
      <c r="C11" s="131"/>
      <c r="D11" s="131"/>
      <c r="E11" s="131"/>
      <c r="F11" s="135"/>
      <c r="G11" s="132"/>
      <c r="H11" s="132">
        <f t="shared" si="1"/>
        <v>0</v>
      </c>
      <c r="I11" s="132"/>
      <c r="J11" s="136">
        <f t="shared" si="0"/>
        <v>0</v>
      </c>
      <c r="K11" s="131"/>
      <c r="L11" s="131"/>
    </row>
    <row r="12" spans="2:12" x14ac:dyDescent="0.35">
      <c r="B12" s="136"/>
      <c r="C12" s="131"/>
      <c r="D12" s="131"/>
      <c r="E12" s="131"/>
      <c r="F12" s="135"/>
      <c r="G12" s="132"/>
      <c r="H12" s="132">
        <f t="shared" si="1"/>
        <v>0</v>
      </c>
      <c r="I12" s="132"/>
      <c r="J12" s="136">
        <f t="shared" si="0"/>
        <v>0</v>
      </c>
      <c r="K12" s="131"/>
      <c r="L12" s="131"/>
    </row>
    <row r="13" spans="2:12" x14ac:dyDescent="0.35">
      <c r="B13" s="136"/>
      <c r="C13" s="131"/>
      <c r="D13" s="131"/>
      <c r="E13" s="131"/>
      <c r="F13" s="135"/>
      <c r="G13" s="132"/>
      <c r="H13" s="132"/>
      <c r="I13" s="132"/>
      <c r="J13" s="136">
        <f t="shared" si="0"/>
        <v>0</v>
      </c>
      <c r="K13" s="131"/>
      <c r="L13" s="131"/>
    </row>
    <row r="14" spans="2:12" x14ac:dyDescent="0.35">
      <c r="B14" s="136"/>
      <c r="C14" s="131"/>
      <c r="D14" s="131"/>
      <c r="E14" s="131"/>
      <c r="F14" s="135"/>
      <c r="G14" s="132"/>
      <c r="H14" s="132">
        <f t="shared" si="1"/>
        <v>0</v>
      </c>
      <c r="I14" s="132"/>
      <c r="J14" s="136">
        <f t="shared" si="0"/>
        <v>0</v>
      </c>
      <c r="K14" s="131"/>
      <c r="L14" s="131"/>
    </row>
    <row r="15" spans="2:12" x14ac:dyDescent="0.35">
      <c r="B15" s="136"/>
      <c r="C15" s="131"/>
      <c r="D15" s="131"/>
      <c r="E15" s="131"/>
      <c r="F15" s="135"/>
      <c r="G15" s="132"/>
      <c r="H15" s="132">
        <f t="shared" si="1"/>
        <v>0</v>
      </c>
      <c r="I15" s="132"/>
      <c r="J15" s="136">
        <f t="shared" si="0"/>
        <v>0</v>
      </c>
      <c r="K15" s="131"/>
      <c r="L15" s="131"/>
    </row>
    <row r="16" spans="2:12" x14ac:dyDescent="0.35">
      <c r="B16" s="136"/>
      <c r="C16" s="131"/>
      <c r="D16" s="131"/>
      <c r="E16" s="131"/>
      <c r="F16" s="135"/>
      <c r="G16" s="132"/>
      <c r="H16" s="132">
        <f t="shared" si="1"/>
        <v>0</v>
      </c>
      <c r="I16" s="132"/>
      <c r="J16" s="136">
        <f t="shared" si="0"/>
        <v>0</v>
      </c>
      <c r="K16" s="131"/>
      <c r="L16" s="131"/>
    </row>
    <row r="17" spans="2:12" x14ac:dyDescent="0.35">
      <c r="B17" s="136"/>
      <c r="C17" s="131"/>
      <c r="D17" s="131"/>
      <c r="E17" s="131"/>
      <c r="F17" s="135"/>
      <c r="G17" s="132"/>
      <c r="H17" s="132">
        <f t="shared" si="1"/>
        <v>0</v>
      </c>
      <c r="I17" s="132"/>
      <c r="J17" s="136">
        <f t="shared" si="0"/>
        <v>0</v>
      </c>
      <c r="K17" s="131"/>
      <c r="L17" s="131"/>
    </row>
    <row r="18" spans="2:12" x14ac:dyDescent="0.35">
      <c r="G18" s="129" t="s">
        <v>33</v>
      </c>
      <c r="H18" s="132">
        <f>SUM(H5:H17)</f>
        <v>16</v>
      </c>
    </row>
  </sheetData>
  <pageMargins left="0.7" right="0.7" top="0.75" bottom="0.75" header="0.3" footer="0.3"/>
  <pageSetup scale="61" orientation="portrait" horizontalDpi="1200" verticalDpi="1200" r:id="rId1"/>
  <colBreaks count="1" manualBreakCount="1">
    <brk id="9" max="49"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0377-D813-4919-A08F-1CBEC5847FDA}">
  <dimension ref="B2:O18"/>
  <sheetViews>
    <sheetView view="pageBreakPreview" zoomScale="80" zoomScaleNormal="85" zoomScaleSheetLayoutView="80" workbookViewId="0">
      <selection activeCell="D5" sqref="D5"/>
    </sheetView>
  </sheetViews>
  <sheetFormatPr defaultColWidth="9.1796875" defaultRowHeight="14.5" x14ac:dyDescent="0.35"/>
  <cols>
    <col min="1" max="1" width="3.81640625" style="129" customWidth="1"/>
    <col min="2" max="2" width="6.453125" style="133" customWidth="1"/>
    <col min="3" max="3" width="19.453125" style="129" customWidth="1"/>
    <col min="4" max="4" width="31.81640625" style="129" customWidth="1"/>
    <col min="5" max="5" width="24.453125" style="129" customWidth="1"/>
    <col min="6" max="6" width="18.36328125" style="129" customWidth="1"/>
    <col min="7" max="7" width="8" style="133" customWidth="1"/>
    <col min="8" max="8" width="12.36328125" style="129" customWidth="1"/>
    <col min="9" max="10" width="10.6328125" style="129" customWidth="1"/>
    <col min="11" max="11" width="6.453125" style="133" customWidth="1"/>
    <col min="12" max="12" width="24.453125" style="129" customWidth="1"/>
    <col min="13" max="13" width="18.36328125" style="129" customWidth="1"/>
    <col min="14" max="15" width="44.36328125" style="129" customWidth="1"/>
    <col min="16" max="16384" width="9.1796875" style="129"/>
  </cols>
  <sheetData>
    <row r="2" spans="2:15" x14ac:dyDescent="0.35">
      <c r="C2" t="s">
        <v>34</v>
      </c>
    </row>
    <row r="4" spans="2:15" x14ac:dyDescent="0.35">
      <c r="B4" s="134" t="s">
        <v>23</v>
      </c>
      <c r="C4" s="130" t="s">
        <v>24</v>
      </c>
      <c r="D4" s="130" t="s">
        <v>25</v>
      </c>
      <c r="E4" s="134" t="s">
        <v>35</v>
      </c>
      <c r="F4" s="134" t="s">
        <v>36</v>
      </c>
      <c r="G4" s="134" t="s">
        <v>27</v>
      </c>
      <c r="H4" s="130" t="s">
        <v>28</v>
      </c>
      <c r="I4" s="130" t="s">
        <v>29</v>
      </c>
      <c r="J4" s="130" t="s">
        <v>30</v>
      </c>
      <c r="K4" s="134" t="s">
        <v>23</v>
      </c>
      <c r="L4" s="134" t="s">
        <v>37</v>
      </c>
      <c r="M4" s="134" t="s">
        <v>38</v>
      </c>
      <c r="N4" s="130" t="s">
        <v>31</v>
      </c>
      <c r="O4" s="130" t="s">
        <v>32</v>
      </c>
    </row>
    <row r="5" spans="2:15" x14ac:dyDescent="0.35">
      <c r="B5" s="136">
        <v>1</v>
      </c>
      <c r="C5" s="131"/>
      <c r="D5" s="131"/>
      <c r="E5" s="131"/>
      <c r="F5" s="131"/>
      <c r="G5" s="135">
        <v>2</v>
      </c>
      <c r="H5" s="132">
        <v>3.5</v>
      </c>
      <c r="I5" s="132">
        <f>G5*H5</f>
        <v>7</v>
      </c>
      <c r="J5" s="132"/>
      <c r="K5" s="136">
        <f>B5</f>
        <v>1</v>
      </c>
      <c r="L5" s="131"/>
      <c r="M5" s="131"/>
      <c r="N5" s="131"/>
      <c r="O5" s="131"/>
    </row>
    <row r="6" spans="2:15" x14ac:dyDescent="0.35">
      <c r="B6" s="136">
        <v>2</v>
      </c>
      <c r="C6" s="131"/>
      <c r="D6" s="131"/>
      <c r="E6" s="131"/>
      <c r="F6" s="131"/>
      <c r="G6" s="135">
        <v>3</v>
      </c>
      <c r="H6" s="132">
        <v>3</v>
      </c>
      <c r="I6" s="132">
        <f>G6*H6</f>
        <v>9</v>
      </c>
      <c r="J6" s="132"/>
      <c r="K6" s="136">
        <f t="shared" ref="K6:K17" si="0">B6</f>
        <v>2</v>
      </c>
      <c r="L6" s="131"/>
      <c r="M6" s="131"/>
      <c r="N6" s="131"/>
      <c r="O6" s="131"/>
    </row>
    <row r="7" spans="2:15" x14ac:dyDescent="0.35">
      <c r="B7" s="136">
        <v>3</v>
      </c>
      <c r="C7" s="131"/>
      <c r="D7" s="131"/>
      <c r="E7" s="131"/>
      <c r="F7" s="131"/>
      <c r="G7" s="135"/>
      <c r="H7" s="132"/>
      <c r="I7" s="132">
        <f t="shared" ref="I7:I17" si="1">G7*H7</f>
        <v>0</v>
      </c>
      <c r="J7" s="132"/>
      <c r="K7" s="136">
        <f t="shared" si="0"/>
        <v>3</v>
      </c>
      <c r="L7" s="131"/>
      <c r="M7" s="131"/>
      <c r="N7" s="131"/>
      <c r="O7" s="131"/>
    </row>
    <row r="8" spans="2:15" x14ac:dyDescent="0.35">
      <c r="B8" s="136">
        <v>4</v>
      </c>
      <c r="C8" s="131"/>
      <c r="D8" s="131"/>
      <c r="E8" s="131"/>
      <c r="F8" s="131"/>
      <c r="G8" s="135"/>
      <c r="H8" s="132"/>
      <c r="I8" s="132">
        <f t="shared" si="1"/>
        <v>0</v>
      </c>
      <c r="J8" s="132"/>
      <c r="K8" s="136">
        <f t="shared" si="0"/>
        <v>4</v>
      </c>
      <c r="L8" s="131"/>
      <c r="M8" s="131"/>
      <c r="N8" s="131"/>
      <c r="O8" s="131"/>
    </row>
    <row r="9" spans="2:15" x14ac:dyDescent="0.35">
      <c r="B9" s="136">
        <v>5</v>
      </c>
      <c r="C9" s="131"/>
      <c r="D9" s="131"/>
      <c r="E9" s="131"/>
      <c r="F9" s="131"/>
      <c r="G9" s="135"/>
      <c r="H9" s="132"/>
      <c r="I9" s="132">
        <f t="shared" si="1"/>
        <v>0</v>
      </c>
      <c r="J9" s="132"/>
      <c r="K9" s="136">
        <f t="shared" si="0"/>
        <v>5</v>
      </c>
      <c r="L9" s="131"/>
      <c r="M9" s="131"/>
      <c r="N9" s="131"/>
      <c r="O9" s="131"/>
    </row>
    <row r="10" spans="2:15" x14ac:dyDescent="0.35">
      <c r="B10" s="136"/>
      <c r="C10" s="131"/>
      <c r="D10" s="131"/>
      <c r="E10" s="131"/>
      <c r="F10" s="131"/>
      <c r="G10" s="135"/>
      <c r="H10" s="132"/>
      <c r="I10" s="132">
        <f t="shared" si="1"/>
        <v>0</v>
      </c>
      <c r="J10" s="132"/>
      <c r="K10" s="136">
        <f t="shared" si="0"/>
        <v>0</v>
      </c>
      <c r="L10" s="131"/>
      <c r="M10" s="131"/>
      <c r="N10" s="131"/>
      <c r="O10" s="131"/>
    </row>
    <row r="11" spans="2:15" x14ac:dyDescent="0.35">
      <c r="B11" s="136"/>
      <c r="C11" s="131"/>
      <c r="D11" s="131"/>
      <c r="E11" s="131"/>
      <c r="F11" s="131"/>
      <c r="G11" s="135"/>
      <c r="H11" s="132"/>
      <c r="I11" s="132">
        <f t="shared" si="1"/>
        <v>0</v>
      </c>
      <c r="J11" s="132"/>
      <c r="K11" s="136">
        <f t="shared" si="0"/>
        <v>0</v>
      </c>
      <c r="L11" s="131"/>
      <c r="M11" s="131"/>
      <c r="N11" s="131"/>
      <c r="O11" s="131"/>
    </row>
    <row r="12" spans="2:15" x14ac:dyDescent="0.35">
      <c r="B12" s="136"/>
      <c r="C12" s="131"/>
      <c r="D12" s="131"/>
      <c r="E12" s="131"/>
      <c r="F12" s="131"/>
      <c r="G12" s="135"/>
      <c r="H12" s="132"/>
      <c r="I12" s="132">
        <f t="shared" si="1"/>
        <v>0</v>
      </c>
      <c r="J12" s="132"/>
      <c r="K12" s="136">
        <f t="shared" si="0"/>
        <v>0</v>
      </c>
      <c r="L12" s="131"/>
      <c r="M12" s="131"/>
      <c r="N12" s="131"/>
      <c r="O12" s="131"/>
    </row>
    <row r="13" spans="2:15" x14ac:dyDescent="0.35">
      <c r="B13" s="136"/>
      <c r="C13" s="131"/>
      <c r="D13" s="131"/>
      <c r="E13" s="131"/>
      <c r="F13" s="131"/>
      <c r="G13" s="135"/>
      <c r="H13" s="132"/>
      <c r="I13" s="132">
        <f t="shared" si="1"/>
        <v>0</v>
      </c>
      <c r="J13" s="132"/>
      <c r="K13" s="136">
        <f t="shared" si="0"/>
        <v>0</v>
      </c>
      <c r="L13" s="131"/>
      <c r="M13" s="131"/>
      <c r="N13" s="131"/>
      <c r="O13" s="131"/>
    </row>
    <row r="14" spans="2:15" x14ac:dyDescent="0.35">
      <c r="B14" s="136"/>
      <c r="C14" s="131"/>
      <c r="D14" s="131"/>
      <c r="E14" s="131"/>
      <c r="F14" s="131"/>
      <c r="G14" s="135"/>
      <c r="H14" s="132"/>
      <c r="I14" s="132">
        <f t="shared" si="1"/>
        <v>0</v>
      </c>
      <c r="J14" s="132"/>
      <c r="K14" s="136">
        <f t="shared" si="0"/>
        <v>0</v>
      </c>
      <c r="L14" s="131"/>
      <c r="M14" s="131"/>
      <c r="N14" s="131"/>
      <c r="O14" s="131"/>
    </row>
    <row r="15" spans="2:15" x14ac:dyDescent="0.35">
      <c r="B15" s="136"/>
      <c r="C15" s="131"/>
      <c r="D15" s="131"/>
      <c r="E15" s="131"/>
      <c r="F15" s="131"/>
      <c r="G15" s="135"/>
      <c r="H15" s="132"/>
      <c r="I15" s="132">
        <f t="shared" si="1"/>
        <v>0</v>
      </c>
      <c r="J15" s="132"/>
      <c r="K15" s="136">
        <f t="shared" si="0"/>
        <v>0</v>
      </c>
      <c r="L15" s="131"/>
      <c r="M15" s="131"/>
      <c r="N15" s="131"/>
      <c r="O15" s="131"/>
    </row>
    <row r="16" spans="2:15" x14ac:dyDescent="0.35">
      <c r="B16" s="136"/>
      <c r="C16" s="131"/>
      <c r="D16" s="131"/>
      <c r="E16" s="131"/>
      <c r="F16" s="131"/>
      <c r="G16" s="135"/>
      <c r="H16" s="132"/>
      <c r="I16" s="132">
        <f t="shared" si="1"/>
        <v>0</v>
      </c>
      <c r="J16" s="132"/>
      <c r="K16" s="136">
        <f t="shared" si="0"/>
        <v>0</v>
      </c>
      <c r="L16" s="131"/>
      <c r="M16" s="131"/>
      <c r="N16" s="131"/>
      <c r="O16" s="131"/>
    </row>
    <row r="17" spans="2:15" x14ac:dyDescent="0.35">
      <c r="B17" s="136"/>
      <c r="C17" s="131"/>
      <c r="D17" s="131"/>
      <c r="E17" s="131"/>
      <c r="F17" s="131"/>
      <c r="G17" s="135"/>
      <c r="H17" s="132"/>
      <c r="I17" s="132">
        <f t="shared" si="1"/>
        <v>0</v>
      </c>
      <c r="J17" s="132"/>
      <c r="K17" s="136">
        <f t="shared" si="0"/>
        <v>0</v>
      </c>
      <c r="L17" s="131"/>
      <c r="M17" s="131"/>
      <c r="N17" s="131"/>
      <c r="O17" s="131"/>
    </row>
    <row r="18" spans="2:15" x14ac:dyDescent="0.35">
      <c r="H18" s="129" t="s">
        <v>33</v>
      </c>
      <c r="I18" s="132">
        <f>SUM(I5:I17)</f>
        <v>16</v>
      </c>
    </row>
  </sheetData>
  <pageMargins left="0.7" right="0.7" top="0.75" bottom="0.75" header="0.3" footer="0.3"/>
  <pageSetup scale="61" orientation="portrait" horizontalDpi="1200" verticalDpi="1200" r:id="rId1"/>
  <colBreaks count="1" manualBreakCount="1">
    <brk id="10" max="4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5AC1-6AB5-4566-900C-79B2EB7EAA56}">
  <sheetPr codeName="Sheet6"/>
  <dimension ref="B1:I95"/>
  <sheetViews>
    <sheetView view="pageBreakPreview" topLeftCell="A21" zoomScale="65" zoomScaleNormal="85" zoomScaleSheetLayoutView="85" workbookViewId="0">
      <selection activeCell="D20" sqref="D20:H20"/>
    </sheetView>
  </sheetViews>
  <sheetFormatPr defaultColWidth="8.6328125" defaultRowHeight="14.5" x14ac:dyDescent="0.35"/>
  <cols>
    <col min="1" max="1" width="8.6328125" style="2"/>
    <col min="2" max="2" width="5.36328125" style="27" customWidth="1"/>
    <col min="3" max="3" width="21.453125" style="26" customWidth="1"/>
    <col min="4" max="5" width="35.453125" style="2" customWidth="1"/>
    <col min="6" max="6" width="22.36328125" style="2" customWidth="1"/>
    <col min="7" max="7" width="8.453125" style="1" customWidth="1"/>
    <col min="8" max="8" width="8.6328125" style="1"/>
    <col min="9" max="9" width="47.1796875" style="26" customWidth="1"/>
    <col min="10" max="16384" width="8.6328125" style="2"/>
  </cols>
  <sheetData>
    <row r="1" spans="2:9" ht="15" thickBot="1" x14ac:dyDescent="0.4"/>
    <row r="2" spans="2:9" ht="16" thickBot="1" x14ac:dyDescent="0.4">
      <c r="B2" s="227" t="str">
        <f>Summary!C8</f>
        <v>B01</v>
      </c>
      <c r="C2" s="49" t="s">
        <v>39</v>
      </c>
      <c r="D2" s="50" t="s">
        <v>40</v>
      </c>
      <c r="E2" s="50" t="s">
        <v>41</v>
      </c>
      <c r="F2" s="51" t="s">
        <v>42</v>
      </c>
      <c r="H2" s="13" t="s">
        <v>43</v>
      </c>
      <c r="I2" s="141"/>
    </row>
    <row r="3" spans="2:9" ht="16" thickBot="1" x14ac:dyDescent="0.4">
      <c r="B3" s="28"/>
      <c r="C3" s="28" t="s">
        <v>9</v>
      </c>
      <c r="D3" s="21" t="s">
        <v>44</v>
      </c>
      <c r="E3" s="21" t="s">
        <v>45</v>
      </c>
      <c r="F3" s="298" t="s">
        <v>46</v>
      </c>
      <c r="G3" s="29"/>
      <c r="I3" s="142"/>
    </row>
    <row r="4" spans="2:9" ht="16" thickBot="1" x14ac:dyDescent="0.4">
      <c r="B4" s="28"/>
      <c r="C4" s="28" t="s">
        <v>12</v>
      </c>
      <c r="D4" s="21" t="s">
        <v>47</v>
      </c>
      <c r="E4" s="21" t="s">
        <v>45</v>
      </c>
      <c r="F4" s="299"/>
      <c r="G4" s="29"/>
      <c r="I4" s="143"/>
    </row>
    <row r="6" spans="2:9" ht="15" thickBot="1" x14ac:dyDescent="0.4"/>
    <row r="7" spans="2:9" ht="15.5" x14ac:dyDescent="0.35">
      <c r="B7" s="239"/>
      <c r="C7" s="286" t="s">
        <v>48</v>
      </c>
      <c r="D7" s="242" t="s">
        <v>49</v>
      </c>
      <c r="E7" s="243"/>
      <c r="F7" s="243"/>
      <c r="G7" s="243"/>
      <c r="H7" s="244"/>
      <c r="I7" s="59" t="s">
        <v>50</v>
      </c>
    </row>
    <row r="8" spans="2:9" ht="16" thickBot="1" x14ac:dyDescent="0.4">
      <c r="B8" s="241"/>
      <c r="C8" s="287"/>
      <c r="D8" s="278"/>
      <c r="E8" s="279"/>
      <c r="F8" s="279"/>
      <c r="G8" s="279"/>
      <c r="H8" s="280"/>
      <c r="I8" s="60" t="s">
        <v>51</v>
      </c>
    </row>
    <row r="9" spans="2:9" ht="15.5" x14ac:dyDescent="0.35">
      <c r="B9" s="52">
        <v>0</v>
      </c>
      <c r="C9" s="53" t="s">
        <v>52</v>
      </c>
      <c r="D9" s="58" t="s">
        <v>53</v>
      </c>
      <c r="E9" s="139">
        <v>46046</v>
      </c>
      <c r="F9" s="140" t="s">
        <v>54</v>
      </c>
      <c r="G9" s="56"/>
      <c r="H9" s="57"/>
      <c r="I9" s="113" t="s">
        <v>55</v>
      </c>
    </row>
    <row r="10" spans="2:9" ht="15.5" x14ac:dyDescent="0.35">
      <c r="B10" s="52"/>
      <c r="C10" s="53"/>
      <c r="D10" s="120" t="s">
        <v>56</v>
      </c>
      <c r="E10" s="54">
        <v>46046</v>
      </c>
      <c r="F10" s="138" t="s">
        <v>57</v>
      </c>
      <c r="G10" s="56"/>
      <c r="H10" s="57"/>
      <c r="I10" s="52"/>
    </row>
    <row r="11" spans="2:9" ht="15.5" x14ac:dyDescent="0.35">
      <c r="B11" s="52"/>
      <c r="C11" s="53"/>
      <c r="D11" s="120" t="s">
        <v>58</v>
      </c>
      <c r="E11" s="54">
        <v>46046</v>
      </c>
      <c r="F11" s="138" t="s">
        <v>57</v>
      </c>
      <c r="G11" s="56"/>
      <c r="H11" s="57"/>
      <c r="I11" s="52"/>
    </row>
    <row r="12" spans="2:9" ht="15.5" x14ac:dyDescent="0.35">
      <c r="B12" s="52"/>
      <c r="C12" s="53"/>
      <c r="D12" s="120" t="s">
        <v>59</v>
      </c>
      <c r="E12" s="54">
        <v>46046</v>
      </c>
      <c r="F12" s="138" t="s">
        <v>57</v>
      </c>
      <c r="G12" s="56"/>
      <c r="H12" s="57"/>
      <c r="I12" s="52"/>
    </row>
    <row r="13" spans="2:9" ht="16" thickBot="1" x14ac:dyDescent="0.4">
      <c r="B13" s="52"/>
      <c r="C13" s="53"/>
      <c r="D13" s="120"/>
      <c r="E13" s="54"/>
      <c r="F13" s="55"/>
      <c r="G13" s="56"/>
      <c r="H13" s="57"/>
      <c r="I13" s="52"/>
    </row>
    <row r="14" spans="2:9" x14ac:dyDescent="0.35">
      <c r="B14" s="229">
        <v>1</v>
      </c>
      <c r="C14" s="284" t="s">
        <v>60</v>
      </c>
      <c r="D14" s="251"/>
      <c r="E14" s="252"/>
      <c r="F14" s="252"/>
      <c r="G14" s="252"/>
      <c r="H14" s="253"/>
      <c r="I14" s="291" t="s">
        <v>61</v>
      </c>
    </row>
    <row r="15" spans="2:9" ht="15" thickBot="1" x14ac:dyDescent="0.4">
      <c r="B15" s="230"/>
      <c r="C15" s="285"/>
      <c r="D15" s="281"/>
      <c r="E15" s="282"/>
      <c r="F15" s="282"/>
      <c r="G15" s="282"/>
      <c r="H15" s="283"/>
      <c r="I15" s="292"/>
    </row>
    <row r="16" spans="2:9" ht="26.25" customHeight="1" x14ac:dyDescent="0.35">
      <c r="B16" s="239" t="s">
        <v>62</v>
      </c>
      <c r="C16" s="275" t="s">
        <v>63</v>
      </c>
      <c r="D16" s="242" t="s">
        <v>64</v>
      </c>
      <c r="E16" s="243"/>
      <c r="F16" s="243"/>
      <c r="G16" s="243"/>
      <c r="H16" s="244"/>
      <c r="I16" s="40"/>
    </row>
    <row r="17" spans="2:9" ht="135.75" customHeight="1" x14ac:dyDescent="0.35">
      <c r="B17" s="240"/>
      <c r="C17" s="276"/>
      <c r="D17" s="260"/>
      <c r="E17" s="261"/>
      <c r="F17" s="261"/>
      <c r="G17" s="261"/>
      <c r="H17" s="262"/>
      <c r="I17" s="40" t="s">
        <v>65</v>
      </c>
    </row>
    <row r="18" spans="2:9" ht="15.5" x14ac:dyDescent="0.35">
      <c r="B18" s="240"/>
      <c r="C18" s="276"/>
      <c r="D18" s="260"/>
      <c r="E18" s="261"/>
      <c r="F18" s="261"/>
      <c r="G18" s="261"/>
      <c r="H18" s="262"/>
      <c r="I18" s="40"/>
    </row>
    <row r="19" spans="2:9" ht="26.25" customHeight="1" x14ac:dyDescent="0.35">
      <c r="B19" s="240"/>
      <c r="C19" s="276"/>
      <c r="D19" s="288" t="s">
        <v>66</v>
      </c>
      <c r="E19" s="289"/>
      <c r="F19" s="289"/>
      <c r="G19" s="289"/>
      <c r="H19" s="290"/>
      <c r="I19" s="40"/>
    </row>
    <row r="20" spans="2:9" ht="135.75" customHeight="1" x14ac:dyDescent="0.35">
      <c r="B20" s="240"/>
      <c r="C20" s="276"/>
      <c r="D20" s="260"/>
      <c r="E20" s="261"/>
      <c r="F20" s="261"/>
      <c r="G20" s="261"/>
      <c r="H20" s="262"/>
      <c r="I20" s="40" t="s">
        <v>67</v>
      </c>
    </row>
    <row r="21" spans="2:9" ht="15.5" x14ac:dyDescent="0.35">
      <c r="B21" s="240"/>
      <c r="C21" s="276"/>
      <c r="D21" s="260"/>
      <c r="E21" s="261"/>
      <c r="F21" s="261"/>
      <c r="G21" s="261"/>
      <c r="H21" s="262"/>
      <c r="I21" s="22"/>
    </row>
    <row r="22" spans="2:9" ht="26.25" customHeight="1" x14ac:dyDescent="0.35">
      <c r="B22" s="240"/>
      <c r="C22" s="276"/>
      <c r="D22" s="288" t="s">
        <v>68</v>
      </c>
      <c r="E22" s="289"/>
      <c r="F22" s="289"/>
      <c r="G22" s="289"/>
      <c r="H22" s="290"/>
      <c r="I22" s="40"/>
    </row>
    <row r="23" spans="2:9" ht="135.75" customHeight="1" x14ac:dyDescent="0.35">
      <c r="B23" s="240"/>
      <c r="C23" s="276"/>
      <c r="D23" s="260"/>
      <c r="E23" s="261"/>
      <c r="F23" s="261"/>
      <c r="G23" s="261"/>
      <c r="H23" s="262"/>
      <c r="I23" s="40" t="s">
        <v>69</v>
      </c>
    </row>
    <row r="24" spans="2:9" ht="16" thickBot="1" x14ac:dyDescent="0.4">
      <c r="B24" s="241"/>
      <c r="C24" s="277"/>
      <c r="D24" s="260"/>
      <c r="E24" s="261"/>
      <c r="F24" s="261"/>
      <c r="G24" s="261"/>
      <c r="H24" s="262"/>
      <c r="I24" s="23"/>
    </row>
    <row r="25" spans="2:9" ht="15.5" customHeight="1" x14ac:dyDescent="0.35">
      <c r="B25" s="239" t="s">
        <v>70</v>
      </c>
      <c r="C25" s="275" t="s">
        <v>71</v>
      </c>
      <c r="D25" s="303"/>
      <c r="E25" s="304"/>
      <c r="F25" s="304"/>
      <c r="G25" s="304"/>
      <c r="H25" s="305"/>
      <c r="I25" s="40"/>
    </row>
    <row r="26" spans="2:9" ht="33" customHeight="1" x14ac:dyDescent="0.35">
      <c r="B26" s="240"/>
      <c r="C26" s="276"/>
      <c r="D26" s="36" t="s">
        <v>72</v>
      </c>
      <c r="E26" s="37" t="s">
        <v>73</v>
      </c>
      <c r="F26" s="37" t="s">
        <v>74</v>
      </c>
      <c r="G26" s="37" t="s">
        <v>75</v>
      </c>
      <c r="H26" s="38" t="s">
        <v>76</v>
      </c>
      <c r="I26" s="41" t="s">
        <v>77</v>
      </c>
    </row>
    <row r="27" spans="2:9" ht="15.5" x14ac:dyDescent="0.35">
      <c r="B27" s="240"/>
      <c r="C27" s="276"/>
      <c r="D27" s="34"/>
      <c r="E27" s="33"/>
      <c r="F27" s="33"/>
      <c r="G27" s="32">
        <v>1</v>
      </c>
      <c r="H27" s="35">
        <v>1</v>
      </c>
      <c r="I27" s="293" t="s">
        <v>78</v>
      </c>
    </row>
    <row r="28" spans="2:9" ht="15.5" x14ac:dyDescent="0.35">
      <c r="B28" s="240"/>
      <c r="C28" s="276"/>
      <c r="D28" s="34"/>
      <c r="E28" s="33"/>
      <c r="F28" s="33"/>
      <c r="G28" s="32">
        <v>2</v>
      </c>
      <c r="H28" s="35">
        <v>1</v>
      </c>
      <c r="I28" s="293"/>
    </row>
    <row r="29" spans="2:9" ht="15.5" x14ac:dyDescent="0.35">
      <c r="B29" s="240"/>
      <c r="C29" s="276"/>
      <c r="D29" s="34"/>
      <c r="E29" s="33"/>
      <c r="F29" s="33"/>
      <c r="G29" s="32">
        <v>3</v>
      </c>
      <c r="H29" s="35">
        <v>1</v>
      </c>
      <c r="I29" s="293" t="s">
        <v>79</v>
      </c>
    </row>
    <row r="30" spans="2:9" ht="15.5" x14ac:dyDescent="0.35">
      <c r="B30" s="240"/>
      <c r="C30" s="276"/>
      <c r="D30" s="34"/>
      <c r="E30" s="33"/>
      <c r="F30" s="33"/>
      <c r="G30" s="32">
        <v>4</v>
      </c>
      <c r="H30" s="35">
        <v>1</v>
      </c>
      <c r="I30" s="293"/>
    </row>
    <row r="31" spans="2:9" ht="15.5" x14ac:dyDescent="0.35">
      <c r="B31" s="240"/>
      <c r="C31" s="276"/>
      <c r="D31" s="34"/>
      <c r="E31" s="33"/>
      <c r="F31" s="33"/>
      <c r="G31" s="32"/>
      <c r="H31" s="35"/>
      <c r="I31" s="40" t="s">
        <v>80</v>
      </c>
    </row>
    <row r="32" spans="2:9" ht="15.5" x14ac:dyDescent="0.35">
      <c r="B32" s="240"/>
      <c r="C32" s="276"/>
      <c r="D32" s="34"/>
      <c r="E32" s="33"/>
      <c r="F32" s="33"/>
      <c r="G32" s="32"/>
      <c r="H32" s="35"/>
      <c r="I32" s="39"/>
    </row>
    <row r="33" spans="2:9" ht="15.5" x14ac:dyDescent="0.35">
      <c r="B33" s="240"/>
      <c r="C33" s="276"/>
      <c r="D33" s="34"/>
      <c r="E33" s="33"/>
      <c r="F33" s="33"/>
      <c r="G33" s="32"/>
      <c r="H33" s="35"/>
      <c r="I33" s="294" t="s">
        <v>81</v>
      </c>
    </row>
    <row r="34" spans="2:9" ht="15.5" x14ac:dyDescent="0.35">
      <c r="B34" s="240"/>
      <c r="C34" s="276"/>
      <c r="D34" s="34"/>
      <c r="E34" s="33"/>
      <c r="F34" s="33"/>
      <c r="G34" s="32"/>
      <c r="H34" s="35"/>
      <c r="I34" s="294"/>
    </row>
    <row r="35" spans="2:9" ht="15.5" x14ac:dyDescent="0.35">
      <c r="B35" s="240"/>
      <c r="C35" s="276"/>
      <c r="D35" s="34"/>
      <c r="E35" s="33"/>
      <c r="F35" s="33"/>
      <c r="G35" s="32"/>
      <c r="H35" s="35"/>
      <c r="I35" s="44"/>
    </row>
    <row r="36" spans="2:9" ht="15.5" x14ac:dyDescent="0.35">
      <c r="B36" s="240"/>
      <c r="C36" s="276"/>
      <c r="D36" s="25"/>
      <c r="E36" s="24"/>
      <c r="F36" s="24"/>
      <c r="G36" s="30"/>
      <c r="H36" s="31"/>
      <c r="I36" s="44"/>
    </row>
    <row r="37" spans="2:9" ht="16" thickBot="1" x14ac:dyDescent="0.4">
      <c r="B37" s="241"/>
      <c r="C37" s="277"/>
      <c r="D37" s="248" t="s">
        <v>82</v>
      </c>
      <c r="E37" s="249"/>
      <c r="F37" s="249"/>
      <c r="G37" s="249"/>
      <c r="H37" s="250"/>
      <c r="I37" s="23"/>
    </row>
    <row r="38" spans="2:9" ht="15.5" customHeight="1" x14ac:dyDescent="0.35">
      <c r="B38" s="239" t="s">
        <v>83</v>
      </c>
      <c r="C38" s="275" t="s">
        <v>84</v>
      </c>
      <c r="D38" s="303"/>
      <c r="E38" s="304"/>
      <c r="F38" s="304"/>
      <c r="G38" s="304"/>
      <c r="H38" s="305"/>
      <c r="I38" s="40"/>
    </row>
    <row r="39" spans="2:9" ht="33" customHeight="1" x14ac:dyDescent="0.35">
      <c r="B39" s="240"/>
      <c r="C39" s="276"/>
      <c r="D39" s="36" t="s">
        <v>85</v>
      </c>
      <c r="E39" s="37" t="s">
        <v>73</v>
      </c>
      <c r="F39" s="37" t="s">
        <v>74</v>
      </c>
      <c r="G39" s="37" t="s">
        <v>75</v>
      </c>
      <c r="H39" s="38" t="s">
        <v>76</v>
      </c>
      <c r="I39" s="41" t="s">
        <v>77</v>
      </c>
    </row>
    <row r="40" spans="2:9" ht="15.5" x14ac:dyDescent="0.35">
      <c r="B40" s="240"/>
      <c r="C40" s="276"/>
      <c r="D40" s="34"/>
      <c r="E40" s="33"/>
      <c r="F40" s="33"/>
      <c r="G40" s="32">
        <v>1</v>
      </c>
      <c r="H40" s="35">
        <v>1</v>
      </c>
      <c r="I40" s="293" t="s">
        <v>86</v>
      </c>
    </row>
    <row r="41" spans="2:9" ht="15.5" x14ac:dyDescent="0.35">
      <c r="B41" s="240"/>
      <c r="C41" s="276"/>
      <c r="D41" s="34"/>
      <c r="E41" s="33"/>
      <c r="F41" s="33"/>
      <c r="G41" s="32">
        <v>2</v>
      </c>
      <c r="H41" s="35">
        <v>1</v>
      </c>
      <c r="I41" s="293"/>
    </row>
    <row r="42" spans="2:9" ht="15.5" x14ac:dyDescent="0.35">
      <c r="B42" s="240"/>
      <c r="C42" s="276"/>
      <c r="D42" s="34"/>
      <c r="E42" s="33"/>
      <c r="F42" s="33"/>
      <c r="G42" s="32">
        <v>3</v>
      </c>
      <c r="H42" s="35">
        <v>1</v>
      </c>
      <c r="I42" s="293" t="s">
        <v>87</v>
      </c>
    </row>
    <row r="43" spans="2:9" ht="15.5" x14ac:dyDescent="0.35">
      <c r="B43" s="240"/>
      <c r="C43" s="276"/>
      <c r="D43" s="34"/>
      <c r="E43" s="33"/>
      <c r="F43" s="33"/>
      <c r="G43" s="32">
        <v>4</v>
      </c>
      <c r="H43" s="35">
        <v>1</v>
      </c>
      <c r="I43" s="293"/>
    </row>
    <row r="44" spans="2:9" ht="15.5" x14ac:dyDescent="0.35">
      <c r="B44" s="240"/>
      <c r="C44" s="276"/>
      <c r="D44" s="34"/>
      <c r="E44" s="33"/>
      <c r="F44" s="33"/>
      <c r="G44" s="32"/>
      <c r="H44" s="35"/>
      <c r="I44" s="39"/>
    </row>
    <row r="45" spans="2:9" ht="15.5" x14ac:dyDescent="0.35">
      <c r="B45" s="240"/>
      <c r="C45" s="276"/>
      <c r="D45" s="34"/>
      <c r="E45" s="33"/>
      <c r="F45" s="33"/>
      <c r="G45" s="32"/>
      <c r="H45" s="35"/>
      <c r="I45" s="39"/>
    </row>
    <row r="46" spans="2:9" ht="15.5" x14ac:dyDescent="0.35">
      <c r="B46" s="240"/>
      <c r="C46" s="276"/>
      <c r="D46" s="34"/>
      <c r="E46" s="33"/>
      <c r="F46" s="33"/>
      <c r="G46" s="32"/>
      <c r="H46" s="35"/>
      <c r="I46" s="294" t="s">
        <v>88</v>
      </c>
    </row>
    <row r="47" spans="2:9" ht="15.5" x14ac:dyDescent="0.35">
      <c r="B47" s="240"/>
      <c r="C47" s="276"/>
      <c r="D47" s="34"/>
      <c r="E47" s="33"/>
      <c r="F47" s="33"/>
      <c r="G47" s="32"/>
      <c r="H47" s="35"/>
      <c r="I47" s="294"/>
    </row>
    <row r="48" spans="2:9" ht="15.5" x14ac:dyDescent="0.35">
      <c r="B48" s="240"/>
      <c r="C48" s="276"/>
      <c r="D48" s="34"/>
      <c r="E48" s="33"/>
      <c r="F48" s="33"/>
      <c r="G48" s="32"/>
      <c r="H48" s="35"/>
      <c r="I48" s="44"/>
    </row>
    <row r="49" spans="2:9" ht="15.5" x14ac:dyDescent="0.35">
      <c r="B49" s="240"/>
      <c r="C49" s="276"/>
      <c r="D49" s="25"/>
      <c r="E49" s="24"/>
      <c r="F49" s="24"/>
      <c r="G49" s="30"/>
      <c r="H49" s="31"/>
      <c r="I49" s="44"/>
    </row>
    <row r="50" spans="2:9" ht="16" thickBot="1" x14ac:dyDescent="0.4">
      <c r="B50" s="241"/>
      <c r="C50" s="277"/>
      <c r="D50" s="248" t="s">
        <v>82</v>
      </c>
      <c r="E50" s="249"/>
      <c r="F50" s="249"/>
      <c r="G50" s="249"/>
      <c r="H50" s="250"/>
      <c r="I50" s="23"/>
    </row>
    <row r="51" spans="2:9" ht="15.5" x14ac:dyDescent="0.35">
      <c r="B51" s="239" t="s">
        <v>89</v>
      </c>
      <c r="C51" s="275" t="s">
        <v>90</v>
      </c>
      <c r="D51" s="254" t="s">
        <v>91</v>
      </c>
      <c r="E51" s="255"/>
      <c r="F51" s="255"/>
      <c r="G51" s="255"/>
      <c r="H51" s="256"/>
      <c r="I51" s="40" t="s">
        <v>92</v>
      </c>
    </row>
    <row r="52" spans="2:9" ht="15.5" x14ac:dyDescent="0.35">
      <c r="B52" s="240"/>
      <c r="C52" s="276"/>
      <c r="D52" s="254"/>
      <c r="E52" s="255"/>
      <c r="F52" s="255"/>
      <c r="G52" s="255"/>
      <c r="H52" s="256"/>
      <c r="I52" s="40" t="s">
        <v>93</v>
      </c>
    </row>
    <row r="53" spans="2:9" ht="16" thickBot="1" x14ac:dyDescent="0.4">
      <c r="B53" s="241"/>
      <c r="C53" s="277"/>
      <c r="D53" s="248"/>
      <c r="E53" s="249"/>
      <c r="F53" s="249"/>
      <c r="G53" s="249"/>
      <c r="H53" s="250"/>
      <c r="I53" s="42"/>
    </row>
    <row r="54" spans="2:9" ht="15.5" x14ac:dyDescent="0.35">
      <c r="B54" s="239" t="s">
        <v>94</v>
      </c>
      <c r="C54" s="275" t="s">
        <v>95</v>
      </c>
      <c r="D54" s="251" t="s">
        <v>96</v>
      </c>
      <c r="E54" s="252"/>
      <c r="F54" s="252"/>
      <c r="G54" s="252"/>
      <c r="H54" s="253"/>
      <c r="I54" s="295" t="s">
        <v>97</v>
      </c>
    </row>
    <row r="55" spans="2:9" ht="15.5" x14ac:dyDescent="0.35">
      <c r="B55" s="240"/>
      <c r="C55" s="276"/>
      <c r="D55" s="254"/>
      <c r="E55" s="255"/>
      <c r="F55" s="255"/>
      <c r="G55" s="255"/>
      <c r="H55" s="256"/>
      <c r="I55" s="296"/>
    </row>
    <row r="56" spans="2:9" ht="16" thickBot="1" x14ac:dyDescent="0.4">
      <c r="B56" s="241"/>
      <c r="C56" s="277"/>
      <c r="D56" s="260"/>
      <c r="E56" s="261"/>
      <c r="F56" s="261"/>
      <c r="G56" s="261"/>
      <c r="H56" s="262"/>
      <c r="I56" s="297"/>
    </row>
    <row r="57" spans="2:9" ht="15.5" customHeight="1" x14ac:dyDescent="0.35">
      <c r="B57" s="239" t="s">
        <v>98</v>
      </c>
      <c r="C57" s="275" t="s">
        <v>99</v>
      </c>
      <c r="D57" s="306"/>
      <c r="E57" s="307"/>
      <c r="F57" s="307"/>
      <c r="G57" s="307"/>
      <c r="H57" s="308"/>
      <c r="I57" s="40"/>
    </row>
    <row r="58" spans="2:9" ht="15.5" x14ac:dyDescent="0.35">
      <c r="B58" s="240"/>
      <c r="C58" s="276"/>
      <c r="D58" s="45"/>
      <c r="E58" s="300" t="s">
        <v>100</v>
      </c>
      <c r="F58" s="301"/>
      <c r="G58" s="301"/>
      <c r="H58" s="302"/>
      <c r="I58" s="40"/>
    </row>
    <row r="59" spans="2:9" ht="27.75" customHeight="1" x14ac:dyDescent="0.35">
      <c r="B59" s="240"/>
      <c r="C59" s="276"/>
      <c r="D59" s="121" t="s">
        <v>101</v>
      </c>
      <c r="E59" s="263" t="s">
        <v>102</v>
      </c>
      <c r="F59" s="264"/>
      <c r="G59" s="264"/>
      <c r="H59" s="265"/>
      <c r="I59" s="40" t="s">
        <v>103</v>
      </c>
    </row>
    <row r="60" spans="2:9" ht="27.75" customHeight="1" x14ac:dyDescent="0.35">
      <c r="B60" s="240"/>
      <c r="C60" s="276"/>
      <c r="D60" s="121" t="s">
        <v>104</v>
      </c>
      <c r="E60" s="263"/>
      <c r="F60" s="264"/>
      <c r="G60" s="264"/>
      <c r="H60" s="265"/>
      <c r="I60" s="40" t="s">
        <v>105</v>
      </c>
    </row>
    <row r="61" spans="2:9" ht="27.75" customHeight="1" x14ac:dyDescent="0.35">
      <c r="B61" s="240"/>
      <c r="C61" s="276"/>
      <c r="D61" s="121" t="s">
        <v>106</v>
      </c>
      <c r="E61" s="263" t="s">
        <v>107</v>
      </c>
      <c r="F61" s="264"/>
      <c r="G61" s="264"/>
      <c r="H61" s="265"/>
      <c r="I61" s="40" t="s">
        <v>108</v>
      </c>
    </row>
    <row r="62" spans="2:9" ht="27.75" customHeight="1" x14ac:dyDescent="0.35">
      <c r="B62" s="240"/>
      <c r="C62" s="276"/>
      <c r="D62" s="121" t="s">
        <v>109</v>
      </c>
      <c r="E62" s="263" t="s">
        <v>107</v>
      </c>
      <c r="F62" s="264"/>
      <c r="G62" s="264"/>
      <c r="H62" s="265"/>
      <c r="I62" s="40"/>
    </row>
    <row r="63" spans="2:9" ht="27.75" customHeight="1" x14ac:dyDescent="0.35">
      <c r="B63" s="240"/>
      <c r="C63" s="276"/>
      <c r="D63" s="121" t="s">
        <v>110</v>
      </c>
      <c r="E63" s="263"/>
      <c r="F63" s="264"/>
      <c r="G63" s="264"/>
      <c r="H63" s="265"/>
      <c r="I63" s="40"/>
    </row>
    <row r="64" spans="2:9" ht="15.5" x14ac:dyDescent="0.35">
      <c r="B64" s="240"/>
      <c r="C64" s="276"/>
      <c r="D64" s="47"/>
      <c r="E64" s="263"/>
      <c r="F64" s="264"/>
      <c r="G64" s="264"/>
      <c r="H64" s="265"/>
      <c r="I64" s="22"/>
    </row>
    <row r="65" spans="2:9" ht="15.5" x14ac:dyDescent="0.35">
      <c r="B65" s="240"/>
      <c r="C65" s="276"/>
      <c r="D65" s="63" t="s">
        <v>111</v>
      </c>
      <c r="E65" s="266" t="s">
        <v>112</v>
      </c>
      <c r="F65" s="267"/>
      <c r="G65" s="267"/>
      <c r="H65" s="268"/>
      <c r="I65" s="40" t="s">
        <v>103</v>
      </c>
    </row>
    <row r="66" spans="2:9" ht="15.5" x14ac:dyDescent="0.35">
      <c r="B66" s="240"/>
      <c r="C66" s="276"/>
      <c r="D66" s="62"/>
      <c r="E66" s="269"/>
      <c r="F66" s="270"/>
      <c r="G66" s="270"/>
      <c r="H66" s="271"/>
      <c r="I66" s="22"/>
    </row>
    <row r="67" spans="2:9" ht="15.5" x14ac:dyDescent="0.35">
      <c r="B67" s="240"/>
      <c r="C67" s="276"/>
      <c r="D67" s="46"/>
      <c r="E67" s="263"/>
      <c r="F67" s="264"/>
      <c r="G67" s="264"/>
      <c r="H67" s="265"/>
      <c r="I67" s="22"/>
    </row>
    <row r="68" spans="2:9" ht="16" thickBot="1" x14ac:dyDescent="0.4">
      <c r="B68" s="241"/>
      <c r="C68" s="277"/>
      <c r="D68" s="272" t="s">
        <v>82</v>
      </c>
      <c r="E68" s="273"/>
      <c r="F68" s="273"/>
      <c r="G68" s="273"/>
      <c r="H68" s="274"/>
      <c r="I68" s="23"/>
    </row>
    <row r="69" spans="2:9" ht="33.5" customHeight="1" x14ac:dyDescent="0.35">
      <c r="B69" s="239" t="s">
        <v>113</v>
      </c>
      <c r="C69" s="275" t="s">
        <v>114</v>
      </c>
      <c r="D69" s="257" t="s">
        <v>115</v>
      </c>
      <c r="E69" s="258"/>
      <c r="F69" s="258"/>
      <c r="G69" s="258"/>
      <c r="H69" s="259"/>
      <c r="I69" s="40" t="s">
        <v>116</v>
      </c>
    </row>
    <row r="70" spans="2:9" ht="31" x14ac:dyDescent="0.35">
      <c r="B70" s="240"/>
      <c r="C70" s="276"/>
      <c r="D70" s="260" t="s">
        <v>117</v>
      </c>
      <c r="E70" s="261"/>
      <c r="F70" s="261"/>
      <c r="G70" s="261"/>
      <c r="H70" s="262"/>
      <c r="I70" s="40" t="s">
        <v>118</v>
      </c>
    </row>
    <row r="71" spans="2:9" ht="16" thickBot="1" x14ac:dyDescent="0.4">
      <c r="B71" s="241"/>
      <c r="C71" s="277"/>
      <c r="D71" s="248"/>
      <c r="E71" s="249"/>
      <c r="F71" s="249"/>
      <c r="G71" s="249"/>
      <c r="H71" s="250"/>
      <c r="I71" s="42"/>
    </row>
    <row r="72" spans="2:9" ht="15.5" x14ac:dyDescent="0.35">
      <c r="B72" s="239" t="s">
        <v>119</v>
      </c>
      <c r="C72" s="275" t="s">
        <v>120</v>
      </c>
      <c r="D72" s="251" t="s">
        <v>121</v>
      </c>
      <c r="E72" s="252"/>
      <c r="F72" s="252"/>
      <c r="G72" s="252"/>
      <c r="H72" s="253"/>
      <c r="I72" s="309"/>
    </row>
    <row r="73" spans="2:9" ht="15.5" x14ac:dyDescent="0.35">
      <c r="B73" s="240"/>
      <c r="C73" s="276"/>
      <c r="D73" s="254" t="s">
        <v>122</v>
      </c>
      <c r="E73" s="255"/>
      <c r="F73" s="255"/>
      <c r="G73" s="255"/>
      <c r="H73" s="256"/>
      <c r="I73" s="310"/>
    </row>
    <row r="74" spans="2:9" ht="16" thickBot="1" x14ac:dyDescent="0.4">
      <c r="B74" s="241"/>
      <c r="C74" s="277"/>
      <c r="D74" s="248"/>
      <c r="E74" s="249"/>
      <c r="F74" s="249"/>
      <c r="G74" s="249"/>
      <c r="H74" s="250"/>
      <c r="I74" s="311"/>
    </row>
    <row r="75" spans="2:9" ht="20.5" customHeight="1" x14ac:dyDescent="0.35">
      <c r="B75" s="239" t="s">
        <v>123</v>
      </c>
      <c r="C75" s="275" t="s">
        <v>124</v>
      </c>
      <c r="D75" s="315"/>
      <c r="E75" s="316"/>
      <c r="F75" s="316"/>
      <c r="G75" s="316"/>
      <c r="H75" s="317"/>
      <c r="I75" s="40" t="s">
        <v>125</v>
      </c>
    </row>
    <row r="76" spans="2:9" ht="31" x14ac:dyDescent="0.35">
      <c r="B76" s="240"/>
      <c r="C76" s="276"/>
      <c r="D76" s="121" t="s">
        <v>126</v>
      </c>
      <c r="E76" s="263"/>
      <c r="F76" s="264"/>
      <c r="G76" s="264"/>
      <c r="H76" s="265"/>
      <c r="I76" s="40" t="s">
        <v>127</v>
      </c>
    </row>
    <row r="77" spans="2:9" ht="31" x14ac:dyDescent="0.35">
      <c r="B77" s="240"/>
      <c r="C77" s="276"/>
      <c r="D77" s="121" t="s">
        <v>128</v>
      </c>
      <c r="E77" s="263"/>
      <c r="F77" s="264"/>
      <c r="G77" s="264"/>
      <c r="H77" s="265"/>
      <c r="I77" s="40" t="s">
        <v>129</v>
      </c>
    </row>
    <row r="78" spans="2:9" ht="16" thickBot="1" x14ac:dyDescent="0.4">
      <c r="B78" s="241"/>
      <c r="C78" s="277"/>
      <c r="D78" s="248"/>
      <c r="E78" s="249"/>
      <c r="F78" s="249"/>
      <c r="G78" s="249"/>
      <c r="H78" s="250"/>
      <c r="I78" s="42"/>
    </row>
    <row r="79" spans="2:9" ht="14.5" customHeight="1" x14ac:dyDescent="0.35">
      <c r="B79" s="239" t="s">
        <v>130</v>
      </c>
      <c r="C79" s="275" t="s">
        <v>131</v>
      </c>
      <c r="D79" s="315"/>
      <c r="E79" s="316"/>
      <c r="F79" s="316"/>
      <c r="G79" s="316"/>
      <c r="H79" s="317"/>
      <c r="I79" s="295" t="s">
        <v>132</v>
      </c>
    </row>
    <row r="80" spans="2:9" ht="14.5" customHeight="1" x14ac:dyDescent="0.35">
      <c r="B80" s="240"/>
      <c r="C80" s="276"/>
      <c r="D80" s="121" t="s">
        <v>133</v>
      </c>
      <c r="E80" s="263"/>
      <c r="F80" s="264"/>
      <c r="G80" s="264"/>
      <c r="H80" s="265"/>
      <c r="I80" s="296"/>
    </row>
    <row r="81" spans="2:9" ht="14.5" customHeight="1" x14ac:dyDescent="0.35">
      <c r="B81" s="240"/>
      <c r="C81" s="276"/>
      <c r="D81" s="121" t="s">
        <v>134</v>
      </c>
      <c r="E81" s="263"/>
      <c r="F81" s="264"/>
      <c r="G81" s="264"/>
      <c r="H81" s="265"/>
      <c r="I81" s="296"/>
    </row>
    <row r="82" spans="2:9" ht="14.5" customHeight="1" x14ac:dyDescent="0.35">
      <c r="B82" s="240"/>
      <c r="C82" s="276"/>
      <c r="D82" s="121" t="s">
        <v>135</v>
      </c>
      <c r="E82" s="263"/>
      <c r="F82" s="264"/>
      <c r="G82" s="264"/>
      <c r="H82" s="265"/>
      <c r="I82" s="296"/>
    </row>
    <row r="83" spans="2:9" ht="15" customHeight="1" thickBot="1" x14ac:dyDescent="0.4">
      <c r="B83" s="241"/>
      <c r="C83" s="277"/>
      <c r="D83" s="312"/>
      <c r="E83" s="313"/>
      <c r="F83" s="313"/>
      <c r="G83" s="313"/>
      <c r="H83" s="314"/>
      <c r="I83" s="48"/>
    </row>
    <row r="84" spans="2:9" ht="33.75" customHeight="1" x14ac:dyDescent="0.35">
      <c r="B84" s="239" t="s">
        <v>136</v>
      </c>
      <c r="C84" s="275" t="s">
        <v>137</v>
      </c>
      <c r="D84" s="242" t="s">
        <v>138</v>
      </c>
      <c r="E84" s="243"/>
      <c r="F84" s="243"/>
      <c r="G84" s="243"/>
      <c r="H84" s="244"/>
      <c r="I84" s="40" t="s">
        <v>139</v>
      </c>
    </row>
    <row r="85" spans="2:9" ht="31" x14ac:dyDescent="0.35">
      <c r="B85" s="240"/>
      <c r="C85" s="276"/>
      <c r="D85" s="245" t="s">
        <v>140</v>
      </c>
      <c r="E85" s="246"/>
      <c r="F85" s="246"/>
      <c r="G85" s="246"/>
      <c r="H85" s="247"/>
      <c r="I85" s="43" t="s">
        <v>141</v>
      </c>
    </row>
    <row r="86" spans="2:9" ht="33.5" customHeight="1" x14ac:dyDescent="0.35">
      <c r="B86" s="240"/>
      <c r="C86" s="276"/>
      <c r="D86" s="245" t="s">
        <v>122</v>
      </c>
      <c r="E86" s="246"/>
      <c r="F86" s="246"/>
      <c r="G86" s="246"/>
      <c r="H86" s="247"/>
      <c r="I86" s="43" t="s">
        <v>142</v>
      </c>
    </row>
    <row r="87" spans="2:9" ht="15.5" x14ac:dyDescent="0.35">
      <c r="B87" s="240"/>
      <c r="C87" s="276"/>
      <c r="D87" s="245"/>
      <c r="E87" s="246"/>
      <c r="F87" s="246"/>
      <c r="G87" s="246"/>
      <c r="H87" s="247"/>
      <c r="I87" s="43" t="s">
        <v>143</v>
      </c>
    </row>
    <row r="88" spans="2:9" ht="16" thickBot="1" x14ac:dyDescent="0.4">
      <c r="B88" s="241"/>
      <c r="C88" s="277"/>
      <c r="D88" s="248"/>
      <c r="E88" s="249"/>
      <c r="F88" s="249"/>
      <c r="G88" s="249"/>
      <c r="H88" s="250"/>
      <c r="I88" s="23"/>
    </row>
    <row r="89" spans="2:9" ht="33.75" customHeight="1" x14ac:dyDescent="0.35">
      <c r="B89" s="239" t="s">
        <v>144</v>
      </c>
      <c r="C89" s="275" t="s">
        <v>145</v>
      </c>
      <c r="D89" s="242" t="s">
        <v>146</v>
      </c>
      <c r="E89" s="243"/>
      <c r="F89" s="243"/>
      <c r="G89" s="243"/>
      <c r="H89" s="244"/>
      <c r="I89" s="40" t="s">
        <v>147</v>
      </c>
    </row>
    <row r="90" spans="2:9" ht="31" x14ac:dyDescent="0.35">
      <c r="B90" s="240"/>
      <c r="C90" s="276"/>
      <c r="D90" s="245" t="s">
        <v>140</v>
      </c>
      <c r="E90" s="246"/>
      <c r="F90" s="246"/>
      <c r="G90" s="246"/>
      <c r="H90" s="247"/>
      <c r="I90" s="43" t="s">
        <v>148</v>
      </c>
    </row>
    <row r="91" spans="2:9" ht="15.5" x14ac:dyDescent="0.35">
      <c r="B91" s="240"/>
      <c r="C91" s="276"/>
      <c r="D91" s="245" t="s">
        <v>122</v>
      </c>
      <c r="E91" s="246"/>
      <c r="F91" s="246"/>
      <c r="G91" s="246"/>
      <c r="H91" s="247"/>
      <c r="I91" s="43" t="s">
        <v>149</v>
      </c>
    </row>
    <row r="92" spans="2:9" ht="15.5" x14ac:dyDescent="0.35">
      <c r="B92" s="240"/>
      <c r="C92" s="276"/>
      <c r="D92" s="245" t="s">
        <v>150</v>
      </c>
      <c r="E92" s="246"/>
      <c r="F92" s="246"/>
      <c r="G92" s="246"/>
      <c r="H92" s="247"/>
      <c r="I92" s="43" t="s">
        <v>151</v>
      </c>
    </row>
    <row r="93" spans="2:9" ht="16" thickBot="1" x14ac:dyDescent="0.4">
      <c r="B93" s="241"/>
      <c r="C93" s="277"/>
      <c r="D93" s="248"/>
      <c r="E93" s="249"/>
      <c r="F93" s="249"/>
      <c r="G93" s="249"/>
      <c r="H93" s="250"/>
      <c r="I93" s="23"/>
    </row>
    <row r="94" spans="2:9" ht="14.5" customHeight="1" x14ac:dyDescent="0.35">
      <c r="B94" s="229">
        <v>14</v>
      </c>
      <c r="C94" s="237" t="s">
        <v>152</v>
      </c>
      <c r="D94" s="231" t="s">
        <v>153</v>
      </c>
      <c r="E94" s="232"/>
      <c r="F94" s="232"/>
      <c r="G94" s="232"/>
      <c r="H94" s="233"/>
      <c r="I94" s="295" t="s">
        <v>154</v>
      </c>
    </row>
    <row r="95" spans="2:9" ht="15" customHeight="1" thickBot="1" x14ac:dyDescent="0.4">
      <c r="B95" s="230"/>
      <c r="C95" s="238"/>
      <c r="D95" s="234"/>
      <c r="E95" s="235"/>
      <c r="F95" s="235"/>
      <c r="G95" s="235"/>
      <c r="H95" s="236"/>
      <c r="I95" s="297"/>
    </row>
  </sheetData>
  <mergeCells count="100">
    <mergeCell ref="I72:I74"/>
    <mergeCell ref="E76:H76"/>
    <mergeCell ref="E77:H77"/>
    <mergeCell ref="I94:I95"/>
    <mergeCell ref="E82:H82"/>
    <mergeCell ref="I79:I82"/>
    <mergeCell ref="D91:H91"/>
    <mergeCell ref="D92:H92"/>
    <mergeCell ref="D83:H83"/>
    <mergeCell ref="D86:H86"/>
    <mergeCell ref="D89:H89"/>
    <mergeCell ref="D90:H90"/>
    <mergeCell ref="E80:H80"/>
    <mergeCell ref="E81:H81"/>
    <mergeCell ref="D79:H79"/>
    <mergeCell ref="D75:H75"/>
    <mergeCell ref="D78:H78"/>
    <mergeCell ref="F3:F4"/>
    <mergeCell ref="E58:H58"/>
    <mergeCell ref="E59:H59"/>
    <mergeCell ref="E60:H60"/>
    <mergeCell ref="E61:H61"/>
    <mergeCell ref="D17:H17"/>
    <mergeCell ref="D18:H18"/>
    <mergeCell ref="D19:H19"/>
    <mergeCell ref="D20:H20"/>
    <mergeCell ref="D21:H21"/>
    <mergeCell ref="D25:H25"/>
    <mergeCell ref="D37:H37"/>
    <mergeCell ref="D57:H57"/>
    <mergeCell ref="D38:H38"/>
    <mergeCell ref="E62:H62"/>
    <mergeCell ref="I42:I43"/>
    <mergeCell ref="I46:I47"/>
    <mergeCell ref="I54:I56"/>
    <mergeCell ref="D52:H52"/>
    <mergeCell ref="D53:H53"/>
    <mergeCell ref="D54:H54"/>
    <mergeCell ref="D50:H50"/>
    <mergeCell ref="D51:H51"/>
    <mergeCell ref="D55:H55"/>
    <mergeCell ref="D56:H56"/>
    <mergeCell ref="I14:I15"/>
    <mergeCell ref="I27:I28"/>
    <mergeCell ref="I29:I30"/>
    <mergeCell ref="I33:I34"/>
    <mergeCell ref="I40:I41"/>
    <mergeCell ref="B7:B8"/>
    <mergeCell ref="D7:H8"/>
    <mergeCell ref="B14:B15"/>
    <mergeCell ref="D14:H15"/>
    <mergeCell ref="D16:H16"/>
    <mergeCell ref="C14:C15"/>
    <mergeCell ref="C16:C24"/>
    <mergeCell ref="C7:C8"/>
    <mergeCell ref="D23:H23"/>
    <mergeCell ref="D22:H22"/>
    <mergeCell ref="D24:H24"/>
    <mergeCell ref="C25:C37"/>
    <mergeCell ref="C38:C50"/>
    <mergeCell ref="B25:B37"/>
    <mergeCell ref="B16:B24"/>
    <mergeCell ref="B75:B78"/>
    <mergeCell ref="C51:C53"/>
    <mergeCell ref="C54:C56"/>
    <mergeCell ref="B54:B56"/>
    <mergeCell ref="B51:B53"/>
    <mergeCell ref="B38:B50"/>
    <mergeCell ref="B79:B83"/>
    <mergeCell ref="B89:B93"/>
    <mergeCell ref="C89:C93"/>
    <mergeCell ref="C57:C68"/>
    <mergeCell ref="C69:C71"/>
    <mergeCell ref="C72:C74"/>
    <mergeCell ref="C84:C88"/>
    <mergeCell ref="C75:C78"/>
    <mergeCell ref="C79:C83"/>
    <mergeCell ref="B57:B68"/>
    <mergeCell ref="B69:B71"/>
    <mergeCell ref="B72:B74"/>
    <mergeCell ref="E63:H63"/>
    <mergeCell ref="E64:H64"/>
    <mergeCell ref="E67:H67"/>
    <mergeCell ref="E65:H66"/>
    <mergeCell ref="D68:H68"/>
    <mergeCell ref="D72:H72"/>
    <mergeCell ref="D73:H73"/>
    <mergeCell ref="D74:H74"/>
    <mergeCell ref="D69:H69"/>
    <mergeCell ref="D70:H70"/>
    <mergeCell ref="D71:H71"/>
    <mergeCell ref="B94:B95"/>
    <mergeCell ref="D94:H95"/>
    <mergeCell ref="C94:C95"/>
    <mergeCell ref="B84:B88"/>
    <mergeCell ref="D84:H84"/>
    <mergeCell ref="D85:H85"/>
    <mergeCell ref="D88:H88"/>
    <mergeCell ref="D93:H93"/>
    <mergeCell ref="D87:H87"/>
  </mergeCells>
  <pageMargins left="0.7" right="0.7" top="0.75" bottom="0.75" header="0.3" footer="0.3"/>
  <pageSetup scale="46" orientation="portrait" r:id="rId1"/>
  <rowBreaks count="1" manualBreakCount="1">
    <brk id="5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284A2-1004-4F6F-8CB9-F330405F2C98}">
  <dimension ref="B2:D18"/>
  <sheetViews>
    <sheetView view="pageBreakPreview" topLeftCell="A13" zoomScale="120" zoomScaleNormal="100" zoomScaleSheetLayoutView="70" workbookViewId="0">
      <selection activeCell="B2" sqref="B2"/>
    </sheetView>
  </sheetViews>
  <sheetFormatPr defaultColWidth="8.81640625" defaultRowHeight="14.5" x14ac:dyDescent="0.35"/>
  <cols>
    <col min="2" max="2" width="21.36328125" style="126" customWidth="1"/>
    <col min="3" max="3" width="94.81640625" customWidth="1"/>
  </cols>
  <sheetData>
    <row r="2" spans="2:4" s="7" customFormat="1" ht="219" customHeight="1" x14ac:dyDescent="0.35">
      <c r="B2" s="137" t="s">
        <v>155</v>
      </c>
      <c r="C2" s="114" t="s">
        <v>156</v>
      </c>
      <c r="D2" s="5"/>
    </row>
    <row r="3" spans="2:4" s="7" customFormat="1" ht="15.5" x14ac:dyDescent="0.35">
      <c r="B3" s="123"/>
      <c r="D3" s="5"/>
    </row>
    <row r="4" spans="2:4" s="7" customFormat="1" ht="194.25" customHeight="1" x14ac:dyDescent="0.35">
      <c r="B4" s="122" t="s">
        <v>157</v>
      </c>
      <c r="C4" s="114" t="s">
        <v>158</v>
      </c>
      <c r="D4" s="5"/>
    </row>
    <row r="5" spans="2:4" s="7" customFormat="1" ht="15.5" x14ac:dyDescent="0.35">
      <c r="B5" s="123"/>
      <c r="D5" s="5"/>
    </row>
    <row r="6" spans="2:4" s="7" customFormat="1" ht="15.5" x14ac:dyDescent="0.35">
      <c r="B6" s="123"/>
      <c r="D6" s="5"/>
    </row>
    <row r="8" spans="2:4" ht="21.75" customHeight="1" x14ac:dyDescent="0.35">
      <c r="B8" s="115" t="s">
        <v>159</v>
      </c>
      <c r="C8" s="8" t="s">
        <v>160</v>
      </c>
    </row>
    <row r="9" spans="2:4" ht="147.75" customHeight="1" x14ac:dyDescent="0.35">
      <c r="B9" s="124" t="s">
        <v>161</v>
      </c>
      <c r="C9" s="127" t="s">
        <v>162</v>
      </c>
    </row>
    <row r="10" spans="2:4" ht="15.5" x14ac:dyDescent="0.35">
      <c r="B10" s="124"/>
      <c r="C10" s="124"/>
    </row>
    <row r="11" spans="2:4" ht="21.75" customHeight="1" x14ac:dyDescent="0.35">
      <c r="B11" s="117" t="s">
        <v>163</v>
      </c>
      <c r="C11" s="116" t="s">
        <v>164</v>
      </c>
    </row>
    <row r="12" spans="2:4" ht="147.75" customHeight="1" x14ac:dyDescent="0.35">
      <c r="B12" s="124" t="s">
        <v>161</v>
      </c>
      <c r="C12" s="128" t="s">
        <v>165</v>
      </c>
    </row>
    <row r="13" spans="2:4" ht="15.5" x14ac:dyDescent="0.35">
      <c r="B13" s="124"/>
      <c r="C13" s="124"/>
    </row>
    <row r="14" spans="2:4" ht="21.75" customHeight="1" x14ac:dyDescent="0.35">
      <c r="B14" s="20" t="s">
        <v>166</v>
      </c>
      <c r="C14" s="6" t="s">
        <v>167</v>
      </c>
    </row>
    <row r="15" spans="2:4" ht="33" customHeight="1" x14ac:dyDescent="0.35">
      <c r="B15" s="124" t="s">
        <v>168</v>
      </c>
      <c r="C15" s="6"/>
    </row>
    <row r="16" spans="2:4" ht="135.75" customHeight="1" x14ac:dyDescent="0.35">
      <c r="B16" s="124" t="s">
        <v>161</v>
      </c>
      <c r="C16" s="20"/>
    </row>
    <row r="18" spans="2:3" x14ac:dyDescent="0.35">
      <c r="B18" s="125" t="s">
        <v>169</v>
      </c>
      <c r="C18" s="118" t="s">
        <v>170</v>
      </c>
    </row>
  </sheetData>
  <pageMargins left="0.7" right="0.7" top="0.75" bottom="0.75" header="0.3" footer="0.3"/>
  <pageSetup scale="5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015D-A9EA-4F1D-86AA-8E714A1EC1C5}">
  <dimension ref="A2:AE199"/>
  <sheetViews>
    <sheetView view="pageBreakPreview" zoomScale="70" zoomScaleNormal="85" zoomScaleSheetLayoutView="70" workbookViewId="0">
      <pane xSplit="3" ySplit="2" topLeftCell="E60" activePane="bottomRight" state="frozen"/>
      <selection pane="topRight" activeCell="V1" sqref="V1"/>
      <selection pane="bottomLeft" activeCell="A3" sqref="A3"/>
      <selection pane="bottomRight" activeCell="B25" sqref="B25"/>
    </sheetView>
  </sheetViews>
  <sheetFormatPr defaultColWidth="9.1796875" defaultRowHeight="14.5" x14ac:dyDescent="0.35"/>
  <cols>
    <col min="1" max="1" width="3.36328125" style="1" customWidth="1"/>
    <col min="2" max="2" width="9.1796875" style="3"/>
    <col min="3" max="3" width="64.6328125" style="2" customWidth="1"/>
    <col min="4" max="4" width="27.81640625" style="2" customWidth="1"/>
    <col min="5" max="5" width="13.6328125" style="2" bestFit="1" customWidth="1"/>
    <col min="6" max="6" width="10.36328125" style="1" customWidth="1"/>
    <col min="7" max="7" width="38.81640625" style="1" bestFit="1" customWidth="1"/>
    <col min="8" max="8" width="12.453125" style="1" customWidth="1"/>
    <col min="9" max="10" width="7.81640625" style="1" customWidth="1"/>
    <col min="11" max="11" width="12.36328125" style="1" hidden="1" customWidth="1"/>
    <col min="12" max="12" width="9.6328125" style="16" customWidth="1"/>
    <col min="13" max="13" width="9.1796875" style="1" hidden="1" customWidth="1"/>
    <col min="14" max="14" width="5.81640625" style="1" customWidth="1"/>
    <col min="15" max="16" width="3.453125" style="2" customWidth="1"/>
    <col min="17" max="31" width="3.36328125" style="1" customWidth="1"/>
    <col min="32" max="16384" width="9.1796875" style="2"/>
  </cols>
  <sheetData>
    <row r="2" spans="2:31" ht="29" x14ac:dyDescent="0.35">
      <c r="B2" s="221" t="s">
        <v>171</v>
      </c>
      <c r="C2" s="222" t="s">
        <v>172</v>
      </c>
      <c r="D2" s="222"/>
      <c r="E2" s="222"/>
      <c r="F2" s="222"/>
      <c r="G2" s="222" t="s">
        <v>173</v>
      </c>
      <c r="H2" s="222" t="s">
        <v>174</v>
      </c>
      <c r="I2" s="222" t="s">
        <v>175</v>
      </c>
      <c r="J2" s="223" t="s">
        <v>176</v>
      </c>
      <c r="K2" s="223" t="s">
        <v>177</v>
      </c>
      <c r="L2" s="224" t="s">
        <v>178</v>
      </c>
      <c r="M2" s="225" t="s">
        <v>179</v>
      </c>
      <c r="N2" s="226" t="s">
        <v>180</v>
      </c>
      <c r="Q2" s="18">
        <v>1</v>
      </c>
      <c r="R2" s="177">
        <v>2</v>
      </c>
      <c r="S2" s="177">
        <v>3</v>
      </c>
      <c r="T2" s="177">
        <v>4</v>
      </c>
      <c r="U2" s="177">
        <v>5</v>
      </c>
      <c r="V2" s="176">
        <v>6</v>
      </c>
      <c r="W2" s="176">
        <v>7</v>
      </c>
      <c r="X2" s="18">
        <v>8</v>
      </c>
      <c r="Y2" s="176">
        <v>9</v>
      </c>
      <c r="Z2" s="176">
        <v>10</v>
      </c>
      <c r="AA2" s="178">
        <v>11</v>
      </c>
      <c r="AB2" s="178">
        <v>12</v>
      </c>
      <c r="AC2" s="178">
        <v>13</v>
      </c>
      <c r="AD2" s="178">
        <v>14</v>
      </c>
      <c r="AE2" s="15">
        <v>15</v>
      </c>
    </row>
    <row r="3" spans="2:31" x14ac:dyDescent="0.35">
      <c r="B3" s="217" t="s">
        <v>181</v>
      </c>
      <c r="C3" s="157" t="s">
        <v>182</v>
      </c>
      <c r="D3" s="158"/>
      <c r="E3" s="158"/>
      <c r="F3" s="158"/>
      <c r="G3" s="158"/>
      <c r="H3" s="158"/>
      <c r="I3" s="158"/>
      <c r="J3" s="159">
        <v>2</v>
      </c>
      <c r="K3" s="160"/>
      <c r="L3" s="161"/>
      <c r="M3" s="158"/>
      <c r="N3" s="209"/>
      <c r="Q3" s="18" t="str">
        <f t="shared" ref="Q3:X3" si="0">IF($J3=Q$2,"x","")</f>
        <v/>
      </c>
      <c r="R3" s="177" t="s">
        <v>183</v>
      </c>
      <c r="S3" s="177"/>
      <c r="T3" s="177"/>
      <c r="U3" s="177"/>
      <c r="V3" s="176"/>
      <c r="W3" s="176"/>
      <c r="X3" s="18" t="str">
        <f t="shared" si="0"/>
        <v/>
      </c>
      <c r="Y3" s="176"/>
      <c r="Z3" s="176"/>
      <c r="AA3" s="178"/>
      <c r="AB3" s="178"/>
      <c r="AC3" s="178"/>
      <c r="AD3" s="178"/>
      <c r="AE3" s="15"/>
    </row>
    <row r="4" spans="2:31" x14ac:dyDescent="0.35">
      <c r="B4" s="218" t="s">
        <v>184</v>
      </c>
      <c r="C4" s="162" t="s">
        <v>185</v>
      </c>
      <c r="D4" s="162" t="s">
        <v>186</v>
      </c>
      <c r="E4" s="162" t="s">
        <v>187</v>
      </c>
      <c r="F4" s="162"/>
      <c r="G4" s="162" t="s">
        <v>188</v>
      </c>
      <c r="H4" s="163" t="s">
        <v>189</v>
      </c>
      <c r="I4" s="163" t="s">
        <v>190</v>
      </c>
      <c r="J4" s="163">
        <v>2</v>
      </c>
      <c r="K4" s="163"/>
      <c r="L4" s="164"/>
      <c r="M4" s="163"/>
      <c r="N4" s="210"/>
      <c r="Q4" s="18" t="str">
        <f t="shared" ref="Q4:AE6" si="1">IF($J4=Q$2,"x","")</f>
        <v/>
      </c>
      <c r="R4" s="177" t="s">
        <v>183</v>
      </c>
      <c r="S4" s="177"/>
      <c r="T4" s="177"/>
      <c r="U4" s="177"/>
      <c r="V4" s="176"/>
      <c r="W4" s="176"/>
      <c r="X4" s="18" t="str">
        <f t="shared" ref="X4" si="2">IF($J4=X$2,"x","")</f>
        <v/>
      </c>
      <c r="Y4" s="176"/>
      <c r="Z4" s="176"/>
      <c r="AA4" s="178"/>
      <c r="AB4" s="178"/>
      <c r="AC4" s="178"/>
      <c r="AD4" s="178"/>
      <c r="AE4" s="15"/>
    </row>
    <row r="5" spans="2:31" x14ac:dyDescent="0.35">
      <c r="B5" s="74" t="s">
        <v>191</v>
      </c>
      <c r="C5" s="2" t="s">
        <v>192</v>
      </c>
      <c r="D5" s="2" t="s">
        <v>193</v>
      </c>
      <c r="F5" s="2"/>
      <c r="G5" s="2" t="s">
        <v>194</v>
      </c>
      <c r="H5" s="16" t="s">
        <v>189</v>
      </c>
      <c r="I5" s="16" t="s">
        <v>190</v>
      </c>
      <c r="J5" s="16">
        <v>2</v>
      </c>
      <c r="K5" s="17">
        <v>46031</v>
      </c>
      <c r="L5" s="102" t="s">
        <v>195</v>
      </c>
      <c r="N5" s="211"/>
      <c r="O5" s="1"/>
      <c r="Q5" s="18" t="str">
        <f t="shared" si="1"/>
        <v/>
      </c>
      <c r="R5" s="12" t="str">
        <f t="shared" si="1"/>
        <v>x</v>
      </c>
      <c r="S5" s="12" t="str">
        <f t="shared" si="1"/>
        <v/>
      </c>
      <c r="T5" s="12" t="str">
        <f t="shared" si="1"/>
        <v/>
      </c>
      <c r="U5" s="12" t="str">
        <f t="shared" si="1"/>
        <v/>
      </c>
      <c r="V5" s="12" t="str">
        <f t="shared" si="1"/>
        <v/>
      </c>
      <c r="W5" s="12" t="str">
        <f t="shared" si="1"/>
        <v/>
      </c>
      <c r="X5" s="18" t="str">
        <f t="shared" si="1"/>
        <v/>
      </c>
      <c r="Y5" s="12" t="str">
        <f t="shared" si="1"/>
        <v/>
      </c>
      <c r="Z5" s="12" t="str">
        <f t="shared" si="1"/>
        <v/>
      </c>
      <c r="AA5" s="12" t="str">
        <f t="shared" si="1"/>
        <v/>
      </c>
      <c r="AB5" s="12" t="str">
        <f t="shared" si="1"/>
        <v/>
      </c>
      <c r="AC5" s="12" t="str">
        <f t="shared" si="1"/>
        <v/>
      </c>
      <c r="AD5" s="12" t="str">
        <f t="shared" si="1"/>
        <v/>
      </c>
      <c r="AE5" s="18" t="str">
        <f t="shared" si="1"/>
        <v/>
      </c>
    </row>
    <row r="6" spans="2:31" x14ac:dyDescent="0.35">
      <c r="B6" s="74" t="s">
        <v>196</v>
      </c>
      <c r="C6" s="2" t="s">
        <v>197</v>
      </c>
      <c r="D6" s="2" t="s">
        <v>193</v>
      </c>
      <c r="F6" s="2"/>
      <c r="G6" s="2" t="s">
        <v>194</v>
      </c>
      <c r="H6" s="16" t="s">
        <v>189</v>
      </c>
      <c r="I6" s="16" t="s">
        <v>190</v>
      </c>
      <c r="J6" s="16">
        <v>2</v>
      </c>
      <c r="K6" s="17">
        <v>46038</v>
      </c>
      <c r="L6" s="102"/>
      <c r="N6" s="211"/>
      <c r="O6" s="1"/>
      <c r="Q6" s="18" t="str">
        <f t="shared" si="1"/>
        <v/>
      </c>
      <c r="R6" s="12" t="str">
        <f t="shared" si="1"/>
        <v>x</v>
      </c>
      <c r="S6" s="12" t="str">
        <f t="shared" si="1"/>
        <v/>
      </c>
      <c r="T6" s="12" t="str">
        <f t="shared" si="1"/>
        <v/>
      </c>
      <c r="U6" s="12" t="str">
        <f t="shared" si="1"/>
        <v/>
      </c>
      <c r="V6" s="12" t="str">
        <f t="shared" si="1"/>
        <v/>
      </c>
      <c r="W6" s="12" t="str">
        <f t="shared" si="1"/>
        <v/>
      </c>
      <c r="X6" s="18" t="str">
        <f t="shared" si="1"/>
        <v/>
      </c>
      <c r="Y6" s="12" t="str">
        <f t="shared" si="1"/>
        <v/>
      </c>
      <c r="Z6" s="12" t="str">
        <f t="shared" si="1"/>
        <v/>
      </c>
      <c r="AA6" s="12" t="str">
        <f t="shared" si="1"/>
        <v/>
      </c>
      <c r="AB6" s="12" t="str">
        <f t="shared" si="1"/>
        <v/>
      </c>
      <c r="AC6" s="12" t="str">
        <f t="shared" si="1"/>
        <v/>
      </c>
      <c r="AD6" s="12" t="str">
        <f t="shared" si="1"/>
        <v/>
      </c>
      <c r="AE6" s="18" t="str">
        <f t="shared" si="1"/>
        <v/>
      </c>
    </row>
    <row r="7" spans="2:31" x14ac:dyDescent="0.35">
      <c r="B7" s="74" t="s">
        <v>198</v>
      </c>
      <c r="C7" s="2" t="s">
        <v>199</v>
      </c>
      <c r="D7" s="2" t="s">
        <v>193</v>
      </c>
      <c r="F7" s="2"/>
      <c r="G7" s="2" t="s">
        <v>194</v>
      </c>
      <c r="H7" s="16" t="s">
        <v>189</v>
      </c>
      <c r="I7" s="16" t="s">
        <v>190</v>
      </c>
      <c r="J7" s="16">
        <v>2</v>
      </c>
      <c r="K7" s="17"/>
      <c r="L7" s="102"/>
      <c r="N7" s="211"/>
      <c r="O7" s="1"/>
      <c r="Q7" s="18" t="str">
        <f t="shared" ref="Q7:AE22" si="3">IF($J7=Q$2,"x","")</f>
        <v/>
      </c>
      <c r="R7" s="12" t="str">
        <f t="shared" si="3"/>
        <v>x</v>
      </c>
      <c r="S7" s="12" t="str">
        <f t="shared" si="3"/>
        <v/>
      </c>
      <c r="T7" s="12" t="str">
        <f t="shared" si="3"/>
        <v/>
      </c>
      <c r="U7" s="12" t="str">
        <f t="shared" si="3"/>
        <v/>
      </c>
      <c r="V7" s="12" t="str">
        <f t="shared" si="3"/>
        <v/>
      </c>
      <c r="W7" s="12" t="str">
        <f t="shared" si="3"/>
        <v/>
      </c>
      <c r="X7" s="18" t="str">
        <f t="shared" si="3"/>
        <v/>
      </c>
      <c r="Y7" s="12" t="str">
        <f t="shared" si="3"/>
        <v/>
      </c>
      <c r="Z7" s="12" t="str">
        <f t="shared" si="3"/>
        <v/>
      </c>
      <c r="AA7" s="12" t="str">
        <f t="shared" si="3"/>
        <v/>
      </c>
      <c r="AB7" s="12" t="str">
        <f t="shared" si="3"/>
        <v/>
      </c>
      <c r="AC7" s="12" t="str">
        <f t="shared" si="3"/>
        <v/>
      </c>
      <c r="AD7" s="12" t="str">
        <f t="shared" si="3"/>
        <v/>
      </c>
      <c r="AE7" s="18" t="str">
        <f t="shared" si="3"/>
        <v/>
      </c>
    </row>
    <row r="8" spans="2:31" x14ac:dyDescent="0.35">
      <c r="B8" s="74" t="s">
        <v>200</v>
      </c>
      <c r="C8" s="2" t="s">
        <v>201</v>
      </c>
      <c r="D8" s="2" t="s">
        <v>202</v>
      </c>
      <c r="F8" s="2"/>
      <c r="G8" s="2" t="s">
        <v>203</v>
      </c>
      <c r="H8" s="16" t="s">
        <v>189</v>
      </c>
      <c r="I8" s="16" t="s">
        <v>190</v>
      </c>
      <c r="J8" s="16">
        <v>2</v>
      </c>
      <c r="K8" s="17">
        <v>46038</v>
      </c>
      <c r="L8" s="102"/>
      <c r="M8" s="4"/>
      <c r="N8" s="211"/>
      <c r="O8" s="1"/>
      <c r="Q8" s="18" t="str">
        <f t="shared" si="3"/>
        <v/>
      </c>
      <c r="R8" s="12" t="str">
        <f t="shared" si="3"/>
        <v>x</v>
      </c>
      <c r="S8" s="12" t="str">
        <f t="shared" si="3"/>
        <v/>
      </c>
      <c r="T8" s="12" t="str">
        <f t="shared" si="3"/>
        <v/>
      </c>
      <c r="U8" s="12" t="str">
        <f t="shared" si="3"/>
        <v/>
      </c>
      <c r="V8" s="12" t="str">
        <f t="shared" si="3"/>
        <v/>
      </c>
      <c r="W8" s="12" t="str">
        <f t="shared" si="3"/>
        <v/>
      </c>
      <c r="X8" s="18" t="str">
        <f t="shared" si="3"/>
        <v/>
      </c>
      <c r="Y8" s="12" t="str">
        <f t="shared" si="3"/>
        <v/>
      </c>
      <c r="Z8" s="12" t="str">
        <f t="shared" si="3"/>
        <v/>
      </c>
      <c r="AA8" s="12" t="str">
        <f t="shared" si="3"/>
        <v/>
      </c>
      <c r="AB8" s="12" t="str">
        <f t="shared" si="3"/>
        <v/>
      </c>
      <c r="AC8" s="12" t="str">
        <f t="shared" si="3"/>
        <v/>
      </c>
      <c r="AD8" s="12" t="str">
        <f t="shared" si="3"/>
        <v/>
      </c>
      <c r="AE8" s="18" t="str">
        <f t="shared" si="3"/>
        <v/>
      </c>
    </row>
    <row r="9" spans="2:31" x14ac:dyDescent="0.35">
      <c r="B9" s="74" t="s">
        <v>200</v>
      </c>
      <c r="C9" s="2" t="s">
        <v>204</v>
      </c>
      <c r="D9" s="2" t="s">
        <v>202</v>
      </c>
      <c r="F9" s="2"/>
      <c r="G9" s="2" t="s">
        <v>203</v>
      </c>
      <c r="H9" s="16" t="s">
        <v>189</v>
      </c>
      <c r="I9" s="16" t="s">
        <v>190</v>
      </c>
      <c r="J9" s="16">
        <v>2</v>
      </c>
      <c r="K9" s="17">
        <v>46038</v>
      </c>
      <c r="L9" s="102"/>
      <c r="M9" s="4"/>
      <c r="N9" s="211"/>
      <c r="O9" s="1"/>
      <c r="Q9" s="18" t="str">
        <f t="shared" si="3"/>
        <v/>
      </c>
      <c r="R9" s="12" t="str">
        <f t="shared" si="3"/>
        <v>x</v>
      </c>
      <c r="S9" s="12" t="str">
        <f t="shared" si="3"/>
        <v/>
      </c>
      <c r="T9" s="12" t="str">
        <f t="shared" si="3"/>
        <v/>
      </c>
      <c r="U9" s="12" t="str">
        <f t="shared" si="3"/>
        <v/>
      </c>
      <c r="V9" s="12" t="str">
        <f t="shared" si="3"/>
        <v/>
      </c>
      <c r="W9" s="12" t="str">
        <f t="shared" si="3"/>
        <v/>
      </c>
      <c r="X9" s="18" t="str">
        <f t="shared" si="3"/>
        <v/>
      </c>
      <c r="Y9" s="12" t="str">
        <f t="shared" si="3"/>
        <v/>
      </c>
      <c r="Z9" s="12" t="str">
        <f t="shared" si="3"/>
        <v/>
      </c>
      <c r="AA9" s="12" t="str">
        <f t="shared" si="3"/>
        <v/>
      </c>
      <c r="AB9" s="12" t="str">
        <f t="shared" si="3"/>
        <v/>
      </c>
      <c r="AC9" s="12" t="str">
        <f t="shared" si="3"/>
        <v/>
      </c>
      <c r="AD9" s="12" t="str">
        <f t="shared" si="3"/>
        <v/>
      </c>
      <c r="AE9" s="18" t="str">
        <f t="shared" si="3"/>
        <v/>
      </c>
    </row>
    <row r="10" spans="2:31" x14ac:dyDescent="0.35">
      <c r="B10" s="74" t="s">
        <v>205</v>
      </c>
      <c r="C10" s="2" t="s">
        <v>206</v>
      </c>
      <c r="D10" s="2" t="s">
        <v>193</v>
      </c>
      <c r="F10" s="2"/>
      <c r="G10" s="2" t="s">
        <v>194</v>
      </c>
      <c r="H10" s="16"/>
      <c r="I10" s="16" t="s">
        <v>190</v>
      </c>
      <c r="J10" s="16">
        <v>2</v>
      </c>
      <c r="K10" s="17"/>
      <c r="L10" s="102"/>
      <c r="M10" s="4"/>
      <c r="N10" s="211"/>
      <c r="O10" s="1"/>
      <c r="Q10" s="18" t="str">
        <f t="shared" si="3"/>
        <v/>
      </c>
      <c r="R10" s="12" t="str">
        <f t="shared" si="3"/>
        <v>x</v>
      </c>
      <c r="S10" s="12" t="str">
        <f t="shared" si="3"/>
        <v/>
      </c>
      <c r="T10" s="12" t="str">
        <f t="shared" si="3"/>
        <v/>
      </c>
      <c r="U10" s="12" t="str">
        <f t="shared" si="3"/>
        <v/>
      </c>
      <c r="V10" s="12" t="str">
        <f t="shared" si="3"/>
        <v/>
      </c>
      <c r="W10" s="12" t="str">
        <f t="shared" si="3"/>
        <v/>
      </c>
      <c r="X10" s="18" t="str">
        <f t="shared" si="3"/>
        <v/>
      </c>
      <c r="Y10" s="12" t="str">
        <f t="shared" si="3"/>
        <v/>
      </c>
      <c r="Z10" s="12" t="str">
        <f t="shared" si="3"/>
        <v/>
      </c>
      <c r="AA10" s="12" t="str">
        <f t="shared" si="3"/>
        <v/>
      </c>
      <c r="AB10" s="12" t="str">
        <f t="shared" si="3"/>
        <v/>
      </c>
      <c r="AC10" s="12" t="str">
        <f t="shared" si="3"/>
        <v/>
      </c>
      <c r="AD10" s="12" t="str">
        <f t="shared" si="3"/>
        <v/>
      </c>
      <c r="AE10" s="18" t="str">
        <f t="shared" si="3"/>
        <v/>
      </c>
    </row>
    <row r="11" spans="2:31" x14ac:dyDescent="0.35">
      <c r="B11" s="217" t="s">
        <v>181</v>
      </c>
      <c r="C11" s="157" t="s">
        <v>207</v>
      </c>
      <c r="D11" s="158"/>
      <c r="E11" s="158"/>
      <c r="F11" s="158"/>
      <c r="G11" s="158"/>
      <c r="H11" s="158"/>
      <c r="I11" s="158"/>
      <c r="J11" s="159">
        <v>3</v>
      </c>
      <c r="K11" s="160"/>
      <c r="L11" s="161"/>
      <c r="M11" s="158"/>
      <c r="N11" s="209"/>
      <c r="O11" s="1"/>
      <c r="Q11" s="18" t="str">
        <f t="shared" si="3"/>
        <v/>
      </c>
      <c r="R11" s="177"/>
      <c r="S11" s="177" t="s">
        <v>183</v>
      </c>
      <c r="T11" s="177"/>
      <c r="U11" s="177"/>
      <c r="V11" s="176"/>
      <c r="W11" s="176"/>
      <c r="X11" s="18" t="str">
        <f t="shared" si="3"/>
        <v/>
      </c>
      <c r="Y11" s="176"/>
      <c r="Z11" s="176"/>
      <c r="AA11" s="178"/>
      <c r="AB11" s="178"/>
      <c r="AC11" s="178"/>
      <c r="AD11" s="178"/>
      <c r="AE11" s="15"/>
    </row>
    <row r="12" spans="2:31" x14ac:dyDescent="0.35">
      <c r="B12" s="218" t="s">
        <v>208</v>
      </c>
      <c r="C12" s="162" t="s">
        <v>185</v>
      </c>
      <c r="D12" s="162" t="s">
        <v>186</v>
      </c>
      <c r="E12" s="162" t="s">
        <v>187</v>
      </c>
      <c r="F12" s="165"/>
      <c r="G12" s="162" t="s">
        <v>188</v>
      </c>
      <c r="H12" s="163" t="s">
        <v>189</v>
      </c>
      <c r="I12" s="163" t="s">
        <v>190</v>
      </c>
      <c r="J12" s="163">
        <v>3</v>
      </c>
      <c r="K12" s="163"/>
      <c r="L12" s="164"/>
      <c r="M12" s="163"/>
      <c r="N12" s="210"/>
      <c r="O12" s="1"/>
      <c r="Q12" s="18" t="str">
        <f t="shared" si="3"/>
        <v/>
      </c>
      <c r="R12" s="177"/>
      <c r="S12" s="177" t="s">
        <v>183</v>
      </c>
      <c r="T12" s="177"/>
      <c r="U12" s="177"/>
      <c r="V12" s="176"/>
      <c r="W12" s="176"/>
      <c r="X12" s="18" t="str">
        <f t="shared" si="3"/>
        <v/>
      </c>
      <c r="Y12" s="176"/>
      <c r="Z12" s="176"/>
      <c r="AA12" s="178"/>
      <c r="AB12" s="178"/>
      <c r="AC12" s="178"/>
      <c r="AD12" s="178"/>
      <c r="AE12" s="15"/>
    </row>
    <row r="13" spans="2:31" x14ac:dyDescent="0.35">
      <c r="B13" s="74" t="s">
        <v>209</v>
      </c>
      <c r="C13" s="2" t="s">
        <v>210</v>
      </c>
      <c r="D13" s="2" t="s">
        <v>193</v>
      </c>
      <c r="F13" s="2"/>
      <c r="G13" s="2" t="s">
        <v>203</v>
      </c>
      <c r="H13" s="16" t="s">
        <v>189</v>
      </c>
      <c r="I13" s="16" t="s">
        <v>190</v>
      </c>
      <c r="J13" s="16">
        <v>3</v>
      </c>
      <c r="K13" s="17">
        <v>46038</v>
      </c>
      <c r="L13" s="102"/>
      <c r="N13" s="211"/>
      <c r="O13" s="1"/>
      <c r="Q13" s="18" t="str">
        <f t="shared" si="3"/>
        <v/>
      </c>
      <c r="R13" s="12" t="str">
        <f t="shared" si="3"/>
        <v/>
      </c>
      <c r="S13" s="12" t="str">
        <f t="shared" si="3"/>
        <v>x</v>
      </c>
      <c r="T13" s="12" t="str">
        <f t="shared" si="3"/>
        <v/>
      </c>
      <c r="U13" s="12" t="str">
        <f t="shared" si="3"/>
        <v/>
      </c>
      <c r="V13" s="12" t="str">
        <f t="shared" si="3"/>
        <v/>
      </c>
      <c r="W13" s="12" t="str">
        <f t="shared" si="3"/>
        <v/>
      </c>
      <c r="X13" s="18" t="str">
        <f t="shared" si="3"/>
        <v/>
      </c>
      <c r="Y13" s="12" t="str">
        <f t="shared" si="3"/>
        <v/>
      </c>
      <c r="Z13" s="12" t="str">
        <f t="shared" si="3"/>
        <v/>
      </c>
      <c r="AA13" s="12" t="str">
        <f t="shared" si="3"/>
        <v/>
      </c>
      <c r="AB13" s="12" t="str">
        <f t="shared" si="3"/>
        <v/>
      </c>
      <c r="AC13" s="12" t="str">
        <f t="shared" si="3"/>
        <v/>
      </c>
      <c r="AD13" s="12" t="str">
        <f t="shared" si="3"/>
        <v/>
      </c>
      <c r="AE13" s="18" t="str">
        <f t="shared" si="3"/>
        <v/>
      </c>
    </row>
    <row r="14" spans="2:31" x14ac:dyDescent="0.35">
      <c r="B14" s="74" t="s">
        <v>211</v>
      </c>
      <c r="C14" s="2" t="s">
        <v>212</v>
      </c>
      <c r="D14" s="2" t="s">
        <v>193</v>
      </c>
      <c r="F14" s="2"/>
      <c r="G14" s="2" t="s">
        <v>203</v>
      </c>
      <c r="H14" s="16" t="s">
        <v>189</v>
      </c>
      <c r="I14" s="16" t="s">
        <v>190</v>
      </c>
      <c r="J14" s="16">
        <v>3</v>
      </c>
      <c r="K14" s="17">
        <v>46038</v>
      </c>
      <c r="L14" s="102"/>
      <c r="N14" s="211"/>
      <c r="O14" s="1"/>
      <c r="Q14" s="18" t="str">
        <f t="shared" si="3"/>
        <v/>
      </c>
      <c r="R14" s="12" t="str">
        <f t="shared" si="3"/>
        <v/>
      </c>
      <c r="S14" s="12" t="str">
        <f t="shared" si="3"/>
        <v>x</v>
      </c>
      <c r="T14" s="12" t="str">
        <f t="shared" si="3"/>
        <v/>
      </c>
      <c r="U14" s="12" t="str">
        <f t="shared" si="3"/>
        <v/>
      </c>
      <c r="V14" s="12" t="str">
        <f t="shared" si="3"/>
        <v/>
      </c>
      <c r="W14" s="12" t="str">
        <f t="shared" si="3"/>
        <v/>
      </c>
      <c r="X14" s="18" t="str">
        <f t="shared" si="3"/>
        <v/>
      </c>
      <c r="Y14" s="12" t="str">
        <f t="shared" si="3"/>
        <v/>
      </c>
      <c r="Z14" s="12" t="str">
        <f t="shared" si="3"/>
        <v/>
      </c>
      <c r="AA14" s="12" t="str">
        <f t="shared" si="3"/>
        <v/>
      </c>
      <c r="AB14" s="12" t="str">
        <f t="shared" si="3"/>
        <v/>
      </c>
      <c r="AC14" s="12" t="str">
        <f t="shared" si="3"/>
        <v/>
      </c>
      <c r="AD14" s="12" t="str">
        <f t="shared" si="3"/>
        <v/>
      </c>
      <c r="AE14" s="18" t="str">
        <f t="shared" si="3"/>
        <v/>
      </c>
    </row>
    <row r="15" spans="2:31" x14ac:dyDescent="0.35">
      <c r="B15" s="218" t="s">
        <v>213</v>
      </c>
      <c r="C15" s="162" t="s">
        <v>214</v>
      </c>
      <c r="D15" s="162" t="s">
        <v>186</v>
      </c>
      <c r="E15" s="162" t="s">
        <v>215</v>
      </c>
      <c r="F15" s="162" t="s">
        <v>216</v>
      </c>
      <c r="G15" s="162" t="s">
        <v>217</v>
      </c>
      <c r="H15" s="163" t="s">
        <v>218</v>
      </c>
      <c r="I15" s="163" t="s">
        <v>190</v>
      </c>
      <c r="J15" s="163">
        <v>3</v>
      </c>
      <c r="K15" s="163"/>
      <c r="L15" s="164"/>
      <c r="M15" s="163">
        <f>N15/6</f>
        <v>1</v>
      </c>
      <c r="N15" s="210">
        <v>6</v>
      </c>
      <c r="O15" s="1"/>
      <c r="Q15" s="18" t="str">
        <f t="shared" si="3"/>
        <v/>
      </c>
      <c r="R15" s="177"/>
      <c r="S15" s="177" t="s">
        <v>183</v>
      </c>
      <c r="T15" s="177"/>
      <c r="U15" s="177"/>
      <c r="V15" s="176"/>
      <c r="W15" s="176"/>
      <c r="X15" s="18" t="str">
        <f t="shared" si="3"/>
        <v/>
      </c>
      <c r="Y15" s="176"/>
      <c r="Z15" s="176"/>
      <c r="AA15" s="178"/>
      <c r="AB15" s="178"/>
      <c r="AC15" s="178"/>
      <c r="AD15" s="178"/>
      <c r="AE15" s="15"/>
    </row>
    <row r="16" spans="2:31" x14ac:dyDescent="0.35">
      <c r="B16" s="74" t="s">
        <v>219</v>
      </c>
      <c r="C16" s="2" t="s">
        <v>220</v>
      </c>
      <c r="D16" s="2" t="s">
        <v>202</v>
      </c>
      <c r="F16" s="2"/>
      <c r="G16" s="2"/>
      <c r="H16" s="16" t="s">
        <v>218</v>
      </c>
      <c r="I16" s="16" t="s">
        <v>190</v>
      </c>
      <c r="J16" s="16">
        <v>3</v>
      </c>
      <c r="K16" s="17">
        <v>46045</v>
      </c>
      <c r="L16" s="17"/>
      <c r="M16" s="17"/>
      <c r="N16" s="212"/>
      <c r="O16" s="1"/>
      <c r="Q16" s="18" t="str">
        <f t="shared" si="3"/>
        <v/>
      </c>
      <c r="R16" s="12" t="str">
        <f t="shared" si="3"/>
        <v/>
      </c>
      <c r="S16" s="12" t="str">
        <f t="shared" si="3"/>
        <v>x</v>
      </c>
      <c r="T16" s="12" t="str">
        <f t="shared" si="3"/>
        <v/>
      </c>
      <c r="U16" s="12" t="str">
        <f t="shared" si="3"/>
        <v/>
      </c>
      <c r="V16" s="12" t="str">
        <f t="shared" si="3"/>
        <v/>
      </c>
      <c r="W16" s="12" t="str">
        <f t="shared" si="3"/>
        <v/>
      </c>
      <c r="X16" s="18" t="str">
        <f t="shared" si="3"/>
        <v/>
      </c>
      <c r="Y16" s="12" t="str">
        <f t="shared" si="3"/>
        <v/>
      </c>
      <c r="Z16" s="12" t="str">
        <f t="shared" si="3"/>
        <v/>
      </c>
      <c r="AA16" s="12" t="str">
        <f t="shared" si="3"/>
        <v/>
      </c>
      <c r="AB16" s="12" t="str">
        <f t="shared" si="3"/>
        <v/>
      </c>
      <c r="AC16" s="12" t="str">
        <f t="shared" si="3"/>
        <v/>
      </c>
      <c r="AD16" s="12" t="str">
        <f t="shared" si="3"/>
        <v/>
      </c>
      <c r="AE16" s="18" t="str">
        <f t="shared" si="3"/>
        <v/>
      </c>
    </row>
    <row r="17" spans="2:31" x14ac:dyDescent="0.35">
      <c r="B17" s="74" t="s">
        <v>221</v>
      </c>
      <c r="C17" s="2" t="s">
        <v>222</v>
      </c>
      <c r="D17" s="2" t="s">
        <v>193</v>
      </c>
      <c r="F17" s="2"/>
      <c r="G17" s="2"/>
      <c r="H17" s="16" t="s">
        <v>218</v>
      </c>
      <c r="I17" s="16" t="s">
        <v>190</v>
      </c>
      <c r="J17" s="16">
        <v>3</v>
      </c>
      <c r="K17" s="17">
        <v>46045</v>
      </c>
      <c r="L17" s="102"/>
      <c r="M17" s="4"/>
      <c r="N17" s="211"/>
      <c r="O17" s="1"/>
      <c r="Q17" s="18" t="str">
        <f t="shared" si="3"/>
        <v/>
      </c>
      <c r="R17" s="12" t="str">
        <f t="shared" si="3"/>
        <v/>
      </c>
      <c r="S17" s="12" t="str">
        <f t="shared" si="3"/>
        <v>x</v>
      </c>
      <c r="T17" s="12" t="str">
        <f t="shared" si="3"/>
        <v/>
      </c>
      <c r="U17" s="12" t="str">
        <f t="shared" si="3"/>
        <v/>
      </c>
      <c r="V17" s="12" t="str">
        <f t="shared" si="3"/>
        <v/>
      </c>
      <c r="W17" s="12" t="str">
        <f t="shared" si="3"/>
        <v/>
      </c>
      <c r="X17" s="18" t="str">
        <f t="shared" si="3"/>
        <v/>
      </c>
      <c r="Y17" s="12" t="str">
        <f t="shared" si="3"/>
        <v/>
      </c>
      <c r="Z17" s="12" t="str">
        <f t="shared" si="3"/>
        <v/>
      </c>
      <c r="AA17" s="12" t="str">
        <f t="shared" si="3"/>
        <v/>
      </c>
      <c r="AB17" s="12" t="str">
        <f t="shared" si="3"/>
        <v/>
      </c>
      <c r="AC17" s="12" t="str">
        <f t="shared" si="3"/>
        <v/>
      </c>
      <c r="AD17" s="12" t="str">
        <f t="shared" si="3"/>
        <v/>
      </c>
      <c r="AE17" s="18" t="str">
        <f t="shared" si="3"/>
        <v/>
      </c>
    </row>
    <row r="18" spans="2:31" x14ac:dyDescent="0.35">
      <c r="B18" s="74" t="s">
        <v>223</v>
      </c>
      <c r="C18" s="2" t="s">
        <v>224</v>
      </c>
      <c r="D18" s="2" t="s">
        <v>202</v>
      </c>
      <c r="F18" s="2"/>
      <c r="G18" s="2"/>
      <c r="H18" s="16" t="s">
        <v>218</v>
      </c>
      <c r="I18" s="16" t="s">
        <v>190</v>
      </c>
      <c r="J18" s="16">
        <v>3</v>
      </c>
      <c r="K18" s="17">
        <v>46045</v>
      </c>
      <c r="L18" s="17"/>
      <c r="M18" s="17"/>
      <c r="N18" s="212"/>
      <c r="O18" s="1"/>
      <c r="Q18" s="18" t="str">
        <f t="shared" si="3"/>
        <v/>
      </c>
      <c r="R18" s="12" t="str">
        <f t="shared" si="3"/>
        <v/>
      </c>
      <c r="S18" s="12" t="str">
        <f t="shared" si="3"/>
        <v>x</v>
      </c>
      <c r="T18" s="12" t="str">
        <f t="shared" si="3"/>
        <v/>
      </c>
      <c r="U18" s="12" t="str">
        <f t="shared" si="3"/>
        <v/>
      </c>
      <c r="V18" s="12" t="str">
        <f t="shared" si="3"/>
        <v/>
      </c>
      <c r="W18" s="12" t="str">
        <f t="shared" si="3"/>
        <v/>
      </c>
      <c r="X18" s="18" t="str">
        <f t="shared" si="3"/>
        <v/>
      </c>
      <c r="Y18" s="12" t="str">
        <f t="shared" si="3"/>
        <v/>
      </c>
      <c r="Z18" s="12" t="str">
        <f t="shared" si="3"/>
        <v/>
      </c>
      <c r="AA18" s="12" t="str">
        <f t="shared" si="3"/>
        <v/>
      </c>
      <c r="AB18" s="12" t="str">
        <f t="shared" si="3"/>
        <v/>
      </c>
      <c r="AC18" s="12" t="str">
        <f t="shared" si="3"/>
        <v/>
      </c>
      <c r="AD18" s="12" t="str">
        <f t="shared" si="3"/>
        <v/>
      </c>
      <c r="AE18" s="18" t="str">
        <f t="shared" si="3"/>
        <v/>
      </c>
    </row>
    <row r="19" spans="2:31" x14ac:dyDescent="0.35">
      <c r="B19" s="74" t="s">
        <v>225</v>
      </c>
      <c r="C19" s="2" t="s">
        <v>226</v>
      </c>
      <c r="D19" s="2" t="s">
        <v>193</v>
      </c>
      <c r="F19" s="2"/>
      <c r="G19" s="2"/>
      <c r="H19" s="16" t="s">
        <v>218</v>
      </c>
      <c r="I19" s="16" t="s">
        <v>190</v>
      </c>
      <c r="J19" s="16">
        <v>3</v>
      </c>
      <c r="K19" s="17">
        <v>46045</v>
      </c>
      <c r="L19" s="17"/>
      <c r="M19" s="17"/>
      <c r="N19" s="212"/>
      <c r="O19" s="1"/>
      <c r="Q19" s="18"/>
      <c r="R19" s="12"/>
      <c r="S19" s="12" t="s">
        <v>183</v>
      </c>
      <c r="T19" s="12"/>
      <c r="U19" s="12"/>
      <c r="V19" s="12"/>
      <c r="W19" s="12"/>
      <c r="X19" s="18"/>
      <c r="Y19" s="12"/>
      <c r="Z19" s="12"/>
      <c r="AA19" s="12"/>
      <c r="AB19" s="12"/>
      <c r="AC19" s="12"/>
      <c r="AD19" s="12"/>
      <c r="AE19" s="18"/>
    </row>
    <row r="20" spans="2:31" x14ac:dyDescent="0.35">
      <c r="B20" s="74" t="s">
        <v>227</v>
      </c>
      <c r="C20" s="2" t="s">
        <v>228</v>
      </c>
      <c r="D20" s="2" t="s">
        <v>193</v>
      </c>
      <c r="F20" s="2"/>
      <c r="G20" s="2"/>
      <c r="H20" s="16" t="s">
        <v>218</v>
      </c>
      <c r="I20" s="16" t="s">
        <v>190</v>
      </c>
      <c r="J20" s="16">
        <v>3</v>
      </c>
      <c r="K20" s="17">
        <v>46045</v>
      </c>
      <c r="L20" s="102"/>
      <c r="N20" s="211"/>
      <c r="O20" s="1"/>
      <c r="Q20" s="18" t="str">
        <f t="shared" si="3"/>
        <v/>
      </c>
      <c r="R20" s="12" t="str">
        <f t="shared" si="3"/>
        <v/>
      </c>
      <c r="S20" s="12" t="str">
        <f t="shared" si="3"/>
        <v>x</v>
      </c>
      <c r="T20" s="12" t="str">
        <f t="shared" si="3"/>
        <v/>
      </c>
      <c r="U20" s="12" t="str">
        <f t="shared" si="3"/>
        <v/>
      </c>
      <c r="V20" s="12" t="str">
        <f t="shared" si="3"/>
        <v/>
      </c>
      <c r="W20" s="12" t="str">
        <f t="shared" si="3"/>
        <v/>
      </c>
      <c r="X20" s="18" t="str">
        <f t="shared" si="3"/>
        <v/>
      </c>
      <c r="Y20" s="12" t="str">
        <f t="shared" si="3"/>
        <v/>
      </c>
      <c r="Z20" s="12" t="str">
        <f t="shared" si="3"/>
        <v/>
      </c>
      <c r="AA20" s="12" t="str">
        <f t="shared" si="3"/>
        <v/>
      </c>
      <c r="AB20" s="12" t="str">
        <f t="shared" si="3"/>
        <v/>
      </c>
      <c r="AC20" s="12" t="str">
        <f t="shared" si="3"/>
        <v/>
      </c>
      <c r="AD20" s="12" t="str">
        <f t="shared" si="3"/>
        <v/>
      </c>
      <c r="AE20" s="18" t="str">
        <f t="shared" si="3"/>
        <v/>
      </c>
    </row>
    <row r="21" spans="2:31" x14ac:dyDescent="0.35">
      <c r="B21" s="218" t="s">
        <v>229</v>
      </c>
      <c r="C21" s="162" t="s">
        <v>230</v>
      </c>
      <c r="D21" s="162" t="s">
        <v>186</v>
      </c>
      <c r="E21" s="162" t="s">
        <v>231</v>
      </c>
      <c r="F21" s="162" t="s">
        <v>216</v>
      </c>
      <c r="G21" s="162" t="s">
        <v>232</v>
      </c>
      <c r="H21" s="164" t="s">
        <v>218</v>
      </c>
      <c r="I21" s="164" t="s">
        <v>190</v>
      </c>
      <c r="J21" s="164">
        <v>3</v>
      </c>
      <c r="K21" s="166"/>
      <c r="L21" s="167"/>
      <c r="M21" s="163">
        <f>N21/6</f>
        <v>5</v>
      </c>
      <c r="N21" s="213">
        <v>30</v>
      </c>
      <c r="O21" s="1"/>
      <c r="Q21" s="18" t="str">
        <f t="shared" ref="Q21" si="4">IF($J21=Q$2,"x","")</f>
        <v/>
      </c>
      <c r="R21" s="177"/>
      <c r="S21" s="177" t="s">
        <v>183</v>
      </c>
      <c r="T21" s="177"/>
      <c r="U21" s="177"/>
      <c r="V21" s="176"/>
      <c r="W21" s="176"/>
      <c r="X21" s="18" t="str">
        <f t="shared" ref="X21" si="5">IF($J21=X$2,"x","")</f>
        <v/>
      </c>
      <c r="Y21" s="176"/>
      <c r="Z21" s="176"/>
      <c r="AA21" s="178"/>
      <c r="AB21" s="178"/>
      <c r="AC21" s="178"/>
      <c r="AD21" s="178"/>
      <c r="AE21" s="15"/>
    </row>
    <row r="22" spans="2:31" x14ac:dyDescent="0.35">
      <c r="B22" s="74" t="s">
        <v>233</v>
      </c>
      <c r="C22" s="2" t="s">
        <v>234</v>
      </c>
      <c r="D22" s="2" t="s">
        <v>193</v>
      </c>
      <c r="F22" s="2"/>
      <c r="G22" s="2"/>
      <c r="H22" s="16" t="s">
        <v>218</v>
      </c>
      <c r="I22" s="16" t="s">
        <v>190</v>
      </c>
      <c r="J22" s="16">
        <v>3</v>
      </c>
      <c r="K22" s="17">
        <v>46045</v>
      </c>
      <c r="L22" s="102"/>
      <c r="N22" s="211"/>
      <c r="O22" s="1"/>
      <c r="Q22" s="18" t="str">
        <f t="shared" si="3"/>
        <v/>
      </c>
      <c r="R22" s="12" t="str">
        <f t="shared" si="3"/>
        <v/>
      </c>
      <c r="S22" s="12" t="str">
        <f t="shared" si="3"/>
        <v>x</v>
      </c>
      <c r="T22" s="12" t="str">
        <f t="shared" si="3"/>
        <v/>
      </c>
      <c r="U22" s="12" t="str">
        <f t="shared" si="3"/>
        <v/>
      </c>
      <c r="V22" s="12" t="str">
        <f t="shared" si="3"/>
        <v/>
      </c>
      <c r="W22" s="12" t="str">
        <f t="shared" si="3"/>
        <v/>
      </c>
      <c r="X22" s="18" t="str">
        <f t="shared" si="3"/>
        <v/>
      </c>
      <c r="Y22" s="12" t="str">
        <f t="shared" si="3"/>
        <v/>
      </c>
      <c r="Z22" s="12" t="str">
        <f t="shared" si="3"/>
        <v/>
      </c>
      <c r="AA22" s="12" t="str">
        <f t="shared" si="3"/>
        <v/>
      </c>
      <c r="AB22" s="12" t="str">
        <f t="shared" si="3"/>
        <v/>
      </c>
      <c r="AC22" s="12" t="str">
        <f t="shared" si="3"/>
        <v/>
      </c>
      <c r="AD22" s="12" t="str">
        <f t="shared" ref="AD22:AE22" si="6">IF($J22=AD$2,"x","")</f>
        <v/>
      </c>
      <c r="AE22" s="18" t="str">
        <f t="shared" si="6"/>
        <v/>
      </c>
    </row>
    <row r="23" spans="2:31" x14ac:dyDescent="0.35">
      <c r="B23" s="74" t="s">
        <v>235</v>
      </c>
      <c r="C23" s="2" t="s">
        <v>236</v>
      </c>
      <c r="D23" s="2" t="s">
        <v>193</v>
      </c>
      <c r="F23" s="2"/>
      <c r="G23" s="2"/>
      <c r="H23" s="16" t="s">
        <v>218</v>
      </c>
      <c r="I23" s="16" t="s">
        <v>190</v>
      </c>
      <c r="J23" s="16">
        <v>3</v>
      </c>
      <c r="K23" s="17">
        <v>46045</v>
      </c>
      <c r="L23" s="102"/>
      <c r="N23" s="211"/>
      <c r="O23" s="1"/>
      <c r="Q23" s="18" t="str">
        <f t="shared" ref="Q23:AE29" si="7">IF($J23=Q$2,"x","")</f>
        <v/>
      </c>
      <c r="R23" s="12" t="str">
        <f t="shared" si="7"/>
        <v/>
      </c>
      <c r="S23" s="12" t="str">
        <f t="shared" si="7"/>
        <v>x</v>
      </c>
      <c r="T23" s="12" t="str">
        <f t="shared" si="7"/>
        <v/>
      </c>
      <c r="U23" s="12" t="str">
        <f t="shared" si="7"/>
        <v/>
      </c>
      <c r="V23" s="12" t="str">
        <f t="shared" si="7"/>
        <v/>
      </c>
      <c r="W23" s="12" t="str">
        <f t="shared" si="7"/>
        <v/>
      </c>
      <c r="X23" s="18" t="str">
        <f t="shared" si="7"/>
        <v/>
      </c>
      <c r="Y23" s="12" t="str">
        <f t="shared" si="7"/>
        <v/>
      </c>
      <c r="Z23" s="12" t="str">
        <f t="shared" si="7"/>
        <v/>
      </c>
      <c r="AA23" s="12" t="str">
        <f t="shared" si="7"/>
        <v/>
      </c>
      <c r="AB23" s="12" t="str">
        <f t="shared" si="7"/>
        <v/>
      </c>
      <c r="AC23" s="12" t="str">
        <f t="shared" si="7"/>
        <v/>
      </c>
      <c r="AD23" s="12" t="str">
        <f t="shared" si="7"/>
        <v/>
      </c>
      <c r="AE23" s="18" t="str">
        <f t="shared" si="7"/>
        <v/>
      </c>
    </row>
    <row r="24" spans="2:31" x14ac:dyDescent="0.35">
      <c r="B24" s="74" t="s">
        <v>237</v>
      </c>
      <c r="C24" s="2" t="s">
        <v>238</v>
      </c>
      <c r="D24" s="2" t="s">
        <v>193</v>
      </c>
      <c r="F24" s="2"/>
      <c r="G24" s="2"/>
      <c r="H24" s="16" t="s">
        <v>218</v>
      </c>
      <c r="I24" s="16" t="s">
        <v>190</v>
      </c>
      <c r="J24" s="16">
        <v>3</v>
      </c>
      <c r="K24" s="17">
        <v>46045</v>
      </c>
      <c r="L24" s="102"/>
      <c r="N24" s="211"/>
      <c r="O24" s="1"/>
      <c r="Q24" s="18" t="str">
        <f t="shared" si="7"/>
        <v/>
      </c>
      <c r="R24" s="12" t="str">
        <f t="shared" si="7"/>
        <v/>
      </c>
      <c r="S24" s="12" t="str">
        <f t="shared" si="7"/>
        <v>x</v>
      </c>
      <c r="T24" s="12" t="str">
        <f t="shared" si="7"/>
        <v/>
      </c>
      <c r="U24" s="12" t="str">
        <f t="shared" si="7"/>
        <v/>
      </c>
      <c r="V24" s="12" t="str">
        <f t="shared" si="7"/>
        <v/>
      </c>
      <c r="W24" s="12" t="str">
        <f t="shared" si="7"/>
        <v/>
      </c>
      <c r="X24" s="18" t="str">
        <f t="shared" si="7"/>
        <v/>
      </c>
      <c r="Y24" s="12" t="str">
        <f t="shared" si="7"/>
        <v/>
      </c>
      <c r="Z24" s="12" t="str">
        <f t="shared" si="7"/>
        <v/>
      </c>
      <c r="AA24" s="12" t="str">
        <f t="shared" si="7"/>
        <v/>
      </c>
      <c r="AB24" s="12" t="str">
        <f t="shared" si="7"/>
        <v/>
      </c>
      <c r="AC24" s="12" t="str">
        <f t="shared" si="7"/>
        <v/>
      </c>
      <c r="AD24" s="12" t="str">
        <f t="shared" si="7"/>
        <v/>
      </c>
      <c r="AE24" s="18" t="str">
        <f t="shared" si="7"/>
        <v/>
      </c>
    </row>
    <row r="25" spans="2:31" x14ac:dyDescent="0.35">
      <c r="B25" s="74" t="s">
        <v>239</v>
      </c>
      <c r="C25" s="2" t="s">
        <v>240</v>
      </c>
      <c r="D25" s="2" t="s">
        <v>241</v>
      </c>
      <c r="F25" s="2"/>
      <c r="G25" s="2" t="s">
        <v>242</v>
      </c>
      <c r="H25" s="16" t="s">
        <v>218</v>
      </c>
      <c r="I25" s="16" t="s">
        <v>190</v>
      </c>
      <c r="J25" s="16">
        <v>3</v>
      </c>
      <c r="K25" s="17">
        <v>46045</v>
      </c>
      <c r="L25" s="102"/>
      <c r="M25" s="4"/>
      <c r="N25" s="211"/>
      <c r="O25" s="1"/>
      <c r="Q25" s="18" t="str">
        <f t="shared" si="7"/>
        <v/>
      </c>
      <c r="R25" s="12" t="str">
        <f t="shared" si="7"/>
        <v/>
      </c>
      <c r="S25" s="12" t="str">
        <f t="shared" si="7"/>
        <v>x</v>
      </c>
      <c r="T25" s="12" t="str">
        <f t="shared" si="7"/>
        <v/>
      </c>
      <c r="U25" s="12" t="str">
        <f t="shared" si="7"/>
        <v/>
      </c>
      <c r="V25" s="12" t="str">
        <f t="shared" si="7"/>
        <v/>
      </c>
      <c r="W25" s="12" t="str">
        <f t="shared" si="7"/>
        <v/>
      </c>
      <c r="X25" s="18" t="str">
        <f t="shared" si="7"/>
        <v/>
      </c>
      <c r="Y25" s="12" t="str">
        <f t="shared" si="7"/>
        <v/>
      </c>
      <c r="Z25" s="12" t="str">
        <f t="shared" si="7"/>
        <v/>
      </c>
      <c r="AA25" s="12" t="str">
        <f t="shared" si="7"/>
        <v/>
      </c>
      <c r="AB25" s="12" t="str">
        <f t="shared" si="7"/>
        <v/>
      </c>
      <c r="AC25" s="12" t="str">
        <f t="shared" si="7"/>
        <v/>
      </c>
      <c r="AD25" s="12" t="str">
        <f t="shared" si="7"/>
        <v/>
      </c>
      <c r="AE25" s="18" t="str">
        <f t="shared" si="7"/>
        <v/>
      </c>
    </row>
    <row r="26" spans="2:31" x14ac:dyDescent="0.35">
      <c r="B26" s="74" t="s">
        <v>243</v>
      </c>
      <c r="C26" s="2" t="s">
        <v>244</v>
      </c>
      <c r="D26" s="2" t="s">
        <v>241</v>
      </c>
      <c r="F26" s="2"/>
      <c r="G26" s="2" t="s">
        <v>245</v>
      </c>
      <c r="H26" s="16" t="s">
        <v>218</v>
      </c>
      <c r="I26" s="16" t="s">
        <v>190</v>
      </c>
      <c r="J26" s="16">
        <v>3</v>
      </c>
      <c r="K26" s="17">
        <v>46045</v>
      </c>
      <c r="L26" s="102"/>
      <c r="M26" s="4"/>
      <c r="N26" s="211"/>
      <c r="O26" s="1"/>
      <c r="Q26" s="18"/>
      <c r="R26" s="12"/>
      <c r="S26" s="12" t="s">
        <v>183</v>
      </c>
      <c r="T26" s="12"/>
      <c r="U26" s="12"/>
      <c r="V26" s="12"/>
      <c r="W26" s="12"/>
      <c r="X26" s="18"/>
      <c r="Y26" s="12"/>
      <c r="Z26" s="12"/>
      <c r="AA26" s="12"/>
      <c r="AB26" s="12"/>
      <c r="AC26" s="12"/>
      <c r="AD26" s="12"/>
      <c r="AE26" s="18"/>
    </row>
    <row r="27" spans="2:31" x14ac:dyDescent="0.35">
      <c r="B27" s="74" t="s">
        <v>246</v>
      </c>
      <c r="C27" s="2" t="s">
        <v>247</v>
      </c>
      <c r="D27" s="2" t="s">
        <v>241</v>
      </c>
      <c r="F27" s="2"/>
      <c r="G27" s="2" t="s">
        <v>248</v>
      </c>
      <c r="H27" s="16" t="s">
        <v>218</v>
      </c>
      <c r="I27" s="16" t="s">
        <v>190</v>
      </c>
      <c r="J27" s="16">
        <v>3</v>
      </c>
      <c r="K27" s="17">
        <v>46045</v>
      </c>
      <c r="L27" s="102"/>
      <c r="M27" s="4"/>
      <c r="N27" s="211"/>
      <c r="O27" s="1">
        <v>0</v>
      </c>
      <c r="Q27" s="18" t="str">
        <f t="shared" si="7"/>
        <v/>
      </c>
      <c r="R27" s="12" t="str">
        <f t="shared" si="7"/>
        <v/>
      </c>
      <c r="S27" s="12" t="str">
        <f t="shared" si="7"/>
        <v>x</v>
      </c>
      <c r="T27" s="12" t="str">
        <f t="shared" si="7"/>
        <v/>
      </c>
      <c r="U27" s="12" t="str">
        <f t="shared" si="7"/>
        <v/>
      </c>
      <c r="V27" s="12" t="str">
        <f t="shared" si="7"/>
        <v/>
      </c>
      <c r="W27" s="12" t="str">
        <f t="shared" si="7"/>
        <v/>
      </c>
      <c r="X27" s="18" t="str">
        <f t="shared" si="7"/>
        <v/>
      </c>
      <c r="Y27" s="12" t="str">
        <f t="shared" si="7"/>
        <v/>
      </c>
      <c r="Z27" s="12" t="str">
        <f t="shared" si="7"/>
        <v/>
      </c>
      <c r="AA27" s="12" t="str">
        <f t="shared" si="7"/>
        <v/>
      </c>
      <c r="AB27" s="12" t="str">
        <f t="shared" si="7"/>
        <v/>
      </c>
      <c r="AC27" s="12" t="str">
        <f t="shared" si="7"/>
        <v/>
      </c>
      <c r="AD27" s="12" t="str">
        <f t="shared" si="7"/>
        <v/>
      </c>
      <c r="AE27" s="18" t="str">
        <f t="shared" si="7"/>
        <v/>
      </c>
    </row>
    <row r="28" spans="2:31" x14ac:dyDescent="0.35">
      <c r="B28" s="74" t="s">
        <v>249</v>
      </c>
      <c r="C28" s="2" t="s">
        <v>250</v>
      </c>
      <c r="D28" s="2" t="s">
        <v>241</v>
      </c>
      <c r="F28" s="2"/>
      <c r="G28" s="2" t="s">
        <v>251</v>
      </c>
      <c r="H28" s="16" t="s">
        <v>218</v>
      </c>
      <c r="I28" s="16" t="s">
        <v>190</v>
      </c>
      <c r="J28" s="16">
        <v>3</v>
      </c>
      <c r="K28" s="17">
        <v>46045</v>
      </c>
      <c r="L28" s="102"/>
      <c r="M28" s="4"/>
      <c r="N28" s="211"/>
      <c r="O28" s="1">
        <v>0</v>
      </c>
      <c r="Q28" s="18" t="str">
        <f t="shared" si="7"/>
        <v/>
      </c>
      <c r="R28" s="12" t="str">
        <f t="shared" si="7"/>
        <v/>
      </c>
      <c r="S28" s="12" t="str">
        <f t="shared" si="7"/>
        <v>x</v>
      </c>
      <c r="T28" s="12" t="str">
        <f t="shared" si="7"/>
        <v/>
      </c>
      <c r="U28" s="12" t="str">
        <f t="shared" si="7"/>
        <v/>
      </c>
      <c r="V28" s="12" t="str">
        <f t="shared" si="7"/>
        <v/>
      </c>
      <c r="W28" s="12" t="str">
        <f t="shared" si="7"/>
        <v/>
      </c>
      <c r="X28" s="18" t="str">
        <f t="shared" si="7"/>
        <v/>
      </c>
      <c r="Y28" s="12" t="str">
        <f t="shared" si="7"/>
        <v/>
      </c>
      <c r="Z28" s="12" t="str">
        <f t="shared" si="7"/>
        <v/>
      </c>
      <c r="AA28" s="12" t="str">
        <f t="shared" si="7"/>
        <v/>
      </c>
      <c r="AB28" s="12" t="str">
        <f t="shared" si="7"/>
        <v/>
      </c>
      <c r="AC28" s="12" t="str">
        <f t="shared" si="7"/>
        <v/>
      </c>
      <c r="AD28" s="12" t="str">
        <f t="shared" si="7"/>
        <v/>
      </c>
      <c r="AE28" s="18" t="str">
        <f t="shared" si="7"/>
        <v/>
      </c>
    </row>
    <row r="29" spans="2:31" x14ac:dyDescent="0.35">
      <c r="B29" s="74" t="s">
        <v>252</v>
      </c>
      <c r="C29" s="2" t="s">
        <v>253</v>
      </c>
      <c r="D29" s="2" t="s">
        <v>193</v>
      </c>
      <c r="F29" s="2"/>
      <c r="G29" s="2"/>
      <c r="H29" s="16" t="s">
        <v>218</v>
      </c>
      <c r="I29" s="16" t="s">
        <v>190</v>
      </c>
      <c r="J29" s="16">
        <v>3</v>
      </c>
      <c r="K29" s="17">
        <v>46045</v>
      </c>
      <c r="L29" s="102"/>
      <c r="M29" s="4"/>
      <c r="N29" s="211"/>
      <c r="O29" s="1"/>
      <c r="Q29" s="18" t="str">
        <f t="shared" si="7"/>
        <v/>
      </c>
      <c r="R29" s="12" t="str">
        <f t="shared" si="7"/>
        <v/>
      </c>
      <c r="S29" s="12" t="str">
        <f t="shared" si="7"/>
        <v>x</v>
      </c>
      <c r="T29" s="12" t="str">
        <f t="shared" si="7"/>
        <v/>
      </c>
      <c r="U29" s="12" t="str">
        <f t="shared" si="7"/>
        <v/>
      </c>
      <c r="V29" s="12" t="str">
        <f t="shared" si="7"/>
        <v/>
      </c>
      <c r="W29" s="12" t="str">
        <f t="shared" si="7"/>
        <v/>
      </c>
      <c r="X29" s="18" t="str">
        <f t="shared" si="7"/>
        <v/>
      </c>
      <c r="Y29" s="12" t="str">
        <f t="shared" si="7"/>
        <v/>
      </c>
      <c r="Z29" s="12" t="str">
        <f t="shared" si="7"/>
        <v/>
      </c>
      <c r="AA29" s="12" t="str">
        <f t="shared" si="7"/>
        <v/>
      </c>
      <c r="AB29" s="12" t="str">
        <f t="shared" si="7"/>
        <v/>
      </c>
      <c r="AC29" s="12" t="str">
        <f t="shared" si="7"/>
        <v/>
      </c>
      <c r="AD29" s="12" t="str">
        <f t="shared" si="7"/>
        <v/>
      </c>
      <c r="AE29" s="18" t="str">
        <f t="shared" si="7"/>
        <v/>
      </c>
    </row>
    <row r="30" spans="2:31" x14ac:dyDescent="0.35">
      <c r="B30" s="218" t="s">
        <v>254</v>
      </c>
      <c r="C30" s="162" t="s">
        <v>255</v>
      </c>
      <c r="D30" s="162" t="s">
        <v>186</v>
      </c>
      <c r="E30" s="162" t="s">
        <v>256</v>
      </c>
      <c r="F30" s="162"/>
      <c r="G30" s="162" t="s">
        <v>188</v>
      </c>
      <c r="H30" s="163" t="s">
        <v>257</v>
      </c>
      <c r="I30" s="163" t="s">
        <v>190</v>
      </c>
      <c r="J30" s="163">
        <v>3</v>
      </c>
      <c r="K30" s="163"/>
      <c r="L30" s="164"/>
      <c r="M30" s="163">
        <f>N30/6</f>
        <v>1</v>
      </c>
      <c r="N30" s="210">
        <v>6</v>
      </c>
      <c r="O30" s="1"/>
      <c r="Q30" s="18" t="str">
        <f t="shared" ref="Q30:AE38" si="8">IF($J30=Q$2,"x","")</f>
        <v/>
      </c>
      <c r="R30" s="177"/>
      <c r="S30" s="177" t="s">
        <v>183</v>
      </c>
      <c r="T30" s="177"/>
      <c r="U30" s="177"/>
      <c r="V30" s="176"/>
      <c r="W30" s="176"/>
      <c r="X30" s="18" t="str">
        <f t="shared" si="8"/>
        <v/>
      </c>
      <c r="Y30" s="176"/>
      <c r="Z30" s="176"/>
      <c r="AA30" s="178"/>
      <c r="AB30" s="178"/>
      <c r="AC30" s="178"/>
      <c r="AD30" s="178"/>
      <c r="AE30" s="15"/>
    </row>
    <row r="31" spans="2:31" x14ac:dyDescent="0.35">
      <c r="B31" s="217" t="s">
        <v>181</v>
      </c>
      <c r="C31" s="157" t="s">
        <v>258</v>
      </c>
      <c r="D31" s="158"/>
      <c r="E31" s="158"/>
      <c r="F31" s="158"/>
      <c r="G31" s="158"/>
      <c r="H31" s="158"/>
      <c r="I31" s="158"/>
      <c r="J31" s="159">
        <v>4</v>
      </c>
      <c r="K31" s="160"/>
      <c r="L31" s="161"/>
      <c r="M31" s="158"/>
      <c r="N31" s="209"/>
      <c r="O31" s="1"/>
      <c r="Q31" s="18" t="str">
        <f t="shared" si="8"/>
        <v/>
      </c>
      <c r="R31" s="177"/>
      <c r="S31" s="177"/>
      <c r="T31" s="177" t="s">
        <v>183</v>
      </c>
      <c r="U31" s="177"/>
      <c r="V31" s="176"/>
      <c r="W31" s="176"/>
      <c r="X31" s="18" t="str">
        <f t="shared" si="8"/>
        <v/>
      </c>
      <c r="Y31" s="176"/>
      <c r="Z31" s="176"/>
      <c r="AA31" s="178"/>
      <c r="AB31" s="178"/>
      <c r="AC31" s="178"/>
      <c r="AD31" s="178"/>
      <c r="AE31" s="15"/>
    </row>
    <row r="32" spans="2:31" x14ac:dyDescent="0.35">
      <c r="B32" s="218" t="s">
        <v>5</v>
      </c>
      <c r="C32" s="162" t="s">
        <v>259</v>
      </c>
      <c r="D32" s="162" t="s">
        <v>186</v>
      </c>
      <c r="E32" s="162" t="s">
        <v>187</v>
      </c>
      <c r="F32" s="165"/>
      <c r="G32" s="162" t="s">
        <v>188</v>
      </c>
      <c r="H32" s="163" t="s">
        <v>189</v>
      </c>
      <c r="I32" s="163" t="s">
        <v>190</v>
      </c>
      <c r="J32" s="163">
        <v>4</v>
      </c>
      <c r="K32" s="163"/>
      <c r="L32" s="164"/>
      <c r="M32" s="163">
        <f>N32/6</f>
        <v>2</v>
      </c>
      <c r="N32" s="210">
        <v>12</v>
      </c>
      <c r="O32" s="1"/>
      <c r="Q32" s="18" t="str">
        <f t="shared" si="8"/>
        <v/>
      </c>
      <c r="R32" s="177"/>
      <c r="S32" s="177"/>
      <c r="T32" s="177" t="s">
        <v>183</v>
      </c>
      <c r="U32" s="177"/>
      <c r="V32" s="176"/>
      <c r="W32" s="176"/>
      <c r="X32" s="18" t="str">
        <f t="shared" si="8"/>
        <v/>
      </c>
      <c r="Y32" s="176"/>
      <c r="Z32" s="176"/>
      <c r="AA32" s="178"/>
      <c r="AB32" s="178"/>
      <c r="AC32" s="178"/>
      <c r="AD32" s="178"/>
      <c r="AE32" s="15"/>
    </row>
    <row r="33" spans="1:31" x14ac:dyDescent="0.35">
      <c r="B33" s="218" t="s">
        <v>260</v>
      </c>
      <c r="C33" s="162" t="s">
        <v>261</v>
      </c>
      <c r="D33" s="162" t="s">
        <v>186</v>
      </c>
      <c r="E33" s="162" t="s">
        <v>262</v>
      </c>
      <c r="F33" s="162"/>
      <c r="G33" s="162" t="s">
        <v>188</v>
      </c>
      <c r="H33" s="163" t="s">
        <v>189</v>
      </c>
      <c r="I33" s="163" t="s">
        <v>190</v>
      </c>
      <c r="J33" s="163">
        <v>4</v>
      </c>
      <c r="K33" s="163"/>
      <c r="L33" s="164"/>
      <c r="M33" s="163">
        <f>N33/6</f>
        <v>1</v>
      </c>
      <c r="N33" s="210">
        <v>6</v>
      </c>
      <c r="O33" s="1"/>
      <c r="Q33" s="18" t="str">
        <f t="shared" si="8"/>
        <v/>
      </c>
      <c r="R33" s="177"/>
      <c r="S33" s="177"/>
      <c r="T33" s="177" t="s">
        <v>183</v>
      </c>
      <c r="U33" s="177"/>
      <c r="V33" s="176"/>
      <c r="W33" s="176"/>
      <c r="X33" s="18" t="str">
        <f t="shared" si="8"/>
        <v/>
      </c>
      <c r="Y33" s="176"/>
      <c r="Z33" s="176"/>
      <c r="AA33" s="178"/>
      <c r="AB33" s="178"/>
      <c r="AC33" s="178"/>
      <c r="AD33" s="178"/>
      <c r="AE33" s="15"/>
    </row>
    <row r="34" spans="1:31" x14ac:dyDescent="0.35">
      <c r="B34" s="74" t="s">
        <v>263</v>
      </c>
      <c r="C34" s="2" t="s">
        <v>264</v>
      </c>
      <c r="D34" s="2" t="s">
        <v>265</v>
      </c>
      <c r="F34" s="2"/>
      <c r="G34" s="2" t="s">
        <v>203</v>
      </c>
      <c r="H34" s="16" t="s">
        <v>189</v>
      </c>
      <c r="I34" s="16" t="s">
        <v>190</v>
      </c>
      <c r="J34" s="16">
        <v>4</v>
      </c>
      <c r="K34" s="17">
        <v>46045</v>
      </c>
      <c r="L34" s="102"/>
      <c r="M34" s="4"/>
      <c r="N34" s="211"/>
      <c r="O34" s="1"/>
      <c r="Q34" s="18" t="str">
        <f t="shared" si="8"/>
        <v/>
      </c>
      <c r="R34" s="12" t="str">
        <f t="shared" si="8"/>
        <v/>
      </c>
      <c r="S34" s="12" t="str">
        <f t="shared" si="8"/>
        <v/>
      </c>
      <c r="T34" s="12" t="str">
        <f t="shared" si="8"/>
        <v>x</v>
      </c>
      <c r="U34" s="12" t="str">
        <f t="shared" si="8"/>
        <v/>
      </c>
      <c r="V34" s="12" t="str">
        <f t="shared" si="8"/>
        <v/>
      </c>
      <c r="W34" s="12" t="str">
        <f t="shared" si="8"/>
        <v/>
      </c>
      <c r="X34" s="18" t="str">
        <f t="shared" si="8"/>
        <v/>
      </c>
      <c r="Y34" s="12" t="str">
        <f t="shared" si="8"/>
        <v/>
      </c>
      <c r="Z34" s="12" t="str">
        <f t="shared" si="8"/>
        <v/>
      </c>
      <c r="AA34" s="12" t="str">
        <f t="shared" si="8"/>
        <v/>
      </c>
      <c r="AB34" s="12" t="str">
        <f t="shared" si="8"/>
        <v/>
      </c>
      <c r="AC34" s="12" t="str">
        <f t="shared" si="8"/>
        <v/>
      </c>
      <c r="AD34" s="12" t="str">
        <f t="shared" si="8"/>
        <v/>
      </c>
      <c r="AE34" s="18" t="str">
        <f t="shared" si="8"/>
        <v/>
      </c>
    </row>
    <row r="35" spans="1:31" x14ac:dyDescent="0.35">
      <c r="B35" s="74" t="s">
        <v>266</v>
      </c>
      <c r="C35" s="2" t="s">
        <v>267</v>
      </c>
      <c r="D35" s="2" t="s">
        <v>265</v>
      </c>
      <c r="F35" s="2"/>
      <c r="G35" s="2" t="s">
        <v>203</v>
      </c>
      <c r="H35" s="16" t="s">
        <v>189</v>
      </c>
      <c r="I35" s="16" t="s">
        <v>190</v>
      </c>
      <c r="J35" s="16">
        <v>4</v>
      </c>
      <c r="K35" s="17">
        <v>46045</v>
      </c>
      <c r="L35" s="102"/>
      <c r="M35" s="4"/>
      <c r="N35" s="211"/>
      <c r="O35" s="1"/>
      <c r="Q35" s="18" t="str">
        <f t="shared" si="8"/>
        <v/>
      </c>
      <c r="R35" s="12" t="str">
        <f t="shared" si="8"/>
        <v/>
      </c>
      <c r="S35" s="12" t="str">
        <f t="shared" si="8"/>
        <v/>
      </c>
      <c r="T35" s="12" t="str">
        <f t="shared" si="8"/>
        <v>x</v>
      </c>
      <c r="U35" s="12" t="str">
        <f t="shared" si="8"/>
        <v/>
      </c>
      <c r="V35" s="12" t="str">
        <f t="shared" si="8"/>
        <v/>
      </c>
      <c r="W35" s="12" t="str">
        <f t="shared" si="8"/>
        <v/>
      </c>
      <c r="X35" s="18" t="str">
        <f t="shared" si="8"/>
        <v/>
      </c>
      <c r="Y35" s="12" t="str">
        <f t="shared" si="8"/>
        <v/>
      </c>
      <c r="Z35" s="12" t="str">
        <f t="shared" si="8"/>
        <v/>
      </c>
      <c r="AA35" s="12" t="str">
        <f t="shared" si="8"/>
        <v/>
      </c>
      <c r="AB35" s="12" t="str">
        <f t="shared" si="8"/>
        <v/>
      </c>
      <c r="AC35" s="12" t="str">
        <f t="shared" si="8"/>
        <v/>
      </c>
      <c r="AD35" s="12" t="str">
        <f t="shared" si="8"/>
        <v/>
      </c>
      <c r="AE35" s="18" t="str">
        <f t="shared" si="8"/>
        <v/>
      </c>
    </row>
    <row r="36" spans="1:31" x14ac:dyDescent="0.35">
      <c r="B36" s="74" t="s">
        <v>268</v>
      </c>
      <c r="C36" s="2" t="s">
        <v>269</v>
      </c>
      <c r="D36" s="2" t="s">
        <v>270</v>
      </c>
      <c r="F36" s="2"/>
      <c r="G36" s="2" t="s">
        <v>203</v>
      </c>
      <c r="H36" s="16" t="s">
        <v>189</v>
      </c>
      <c r="I36" s="16" t="s">
        <v>190</v>
      </c>
      <c r="J36" s="16">
        <v>4</v>
      </c>
      <c r="K36" s="17">
        <v>46052</v>
      </c>
      <c r="L36" s="102"/>
      <c r="M36" s="4"/>
      <c r="N36" s="211"/>
      <c r="O36" s="1"/>
      <c r="Q36" s="18" t="str">
        <f t="shared" si="8"/>
        <v/>
      </c>
      <c r="R36" s="12" t="str">
        <f t="shared" si="8"/>
        <v/>
      </c>
      <c r="S36" s="12" t="str">
        <f t="shared" si="8"/>
        <v/>
      </c>
      <c r="T36" s="12" t="str">
        <f t="shared" si="8"/>
        <v>x</v>
      </c>
      <c r="U36" s="12" t="str">
        <f t="shared" si="8"/>
        <v/>
      </c>
      <c r="V36" s="12" t="str">
        <f t="shared" si="8"/>
        <v/>
      </c>
      <c r="W36" s="12" t="str">
        <f t="shared" si="8"/>
        <v/>
      </c>
      <c r="X36" s="18" t="str">
        <f t="shared" si="8"/>
        <v/>
      </c>
      <c r="Y36" s="12" t="str">
        <f t="shared" si="8"/>
        <v/>
      </c>
      <c r="Z36" s="12" t="str">
        <f t="shared" si="8"/>
        <v/>
      </c>
      <c r="AA36" s="12" t="str">
        <f t="shared" si="8"/>
        <v/>
      </c>
      <c r="AB36" s="12" t="str">
        <f t="shared" si="8"/>
        <v/>
      </c>
      <c r="AC36" s="12" t="str">
        <f t="shared" si="8"/>
        <v/>
      </c>
      <c r="AD36" s="12" t="str">
        <f t="shared" si="8"/>
        <v/>
      </c>
      <c r="AE36" s="18" t="str">
        <f t="shared" si="8"/>
        <v/>
      </c>
    </row>
    <row r="37" spans="1:31" x14ac:dyDescent="0.35">
      <c r="B37" s="74" t="s">
        <v>271</v>
      </c>
      <c r="C37" s="2" t="s">
        <v>272</v>
      </c>
      <c r="D37" s="2" t="s">
        <v>270</v>
      </c>
      <c r="F37" s="2"/>
      <c r="G37" s="2" t="s">
        <v>203</v>
      </c>
      <c r="H37" s="16" t="s">
        <v>189</v>
      </c>
      <c r="I37" s="16" t="s">
        <v>190</v>
      </c>
      <c r="J37" s="16">
        <v>4</v>
      </c>
      <c r="K37" s="17">
        <v>46052</v>
      </c>
      <c r="L37" s="102"/>
      <c r="M37" s="4"/>
      <c r="N37" s="211"/>
      <c r="O37" s="1"/>
      <c r="Q37" s="18" t="str">
        <f t="shared" si="8"/>
        <v/>
      </c>
      <c r="R37" s="12" t="str">
        <f t="shared" si="8"/>
        <v/>
      </c>
      <c r="S37" s="12" t="str">
        <f t="shared" si="8"/>
        <v/>
      </c>
      <c r="T37" s="12" t="str">
        <f t="shared" si="8"/>
        <v>x</v>
      </c>
      <c r="U37" s="12" t="str">
        <f t="shared" si="8"/>
        <v/>
      </c>
      <c r="V37" s="12" t="str">
        <f t="shared" si="8"/>
        <v/>
      </c>
      <c r="W37" s="12" t="str">
        <f t="shared" si="8"/>
        <v/>
      </c>
      <c r="X37" s="18" t="str">
        <f t="shared" si="8"/>
        <v/>
      </c>
      <c r="Y37" s="12" t="str">
        <f t="shared" si="8"/>
        <v/>
      </c>
      <c r="Z37" s="12" t="str">
        <f t="shared" si="8"/>
        <v/>
      </c>
      <c r="AA37" s="12" t="str">
        <f t="shared" si="8"/>
        <v/>
      </c>
      <c r="AB37" s="12" t="str">
        <f t="shared" si="8"/>
        <v/>
      </c>
      <c r="AC37" s="12" t="str">
        <f t="shared" si="8"/>
        <v/>
      </c>
      <c r="AD37" s="12" t="str">
        <f t="shared" si="8"/>
        <v/>
      </c>
      <c r="AE37" s="18" t="str">
        <f t="shared" si="8"/>
        <v/>
      </c>
    </row>
    <row r="38" spans="1:31" x14ac:dyDescent="0.35">
      <c r="B38" s="74" t="s">
        <v>273</v>
      </c>
      <c r="C38" s="2" t="s">
        <v>274</v>
      </c>
      <c r="D38" s="2" t="s">
        <v>241</v>
      </c>
      <c r="F38" s="2"/>
      <c r="G38" s="2" t="s">
        <v>275</v>
      </c>
      <c r="H38" s="16" t="s">
        <v>218</v>
      </c>
      <c r="I38" s="16" t="s">
        <v>190</v>
      </c>
      <c r="J38" s="16">
        <v>4</v>
      </c>
      <c r="K38" s="17">
        <v>46052</v>
      </c>
      <c r="L38" s="102"/>
      <c r="M38" s="4"/>
      <c r="N38" s="211"/>
      <c r="O38" s="1"/>
      <c r="Q38" s="18" t="str">
        <f t="shared" si="8"/>
        <v/>
      </c>
      <c r="R38" s="12" t="str">
        <f t="shared" si="8"/>
        <v/>
      </c>
      <c r="S38" s="12" t="str">
        <f t="shared" si="8"/>
        <v/>
      </c>
      <c r="T38" s="12" t="str">
        <f t="shared" si="8"/>
        <v>x</v>
      </c>
      <c r="U38" s="12" t="str">
        <f t="shared" si="8"/>
        <v/>
      </c>
      <c r="V38" s="12" t="str">
        <f t="shared" si="8"/>
        <v/>
      </c>
      <c r="W38" s="12" t="str">
        <f t="shared" si="8"/>
        <v/>
      </c>
      <c r="X38" s="18" t="str">
        <f t="shared" si="8"/>
        <v/>
      </c>
      <c r="Y38" s="12" t="str">
        <f t="shared" si="8"/>
        <v/>
      </c>
      <c r="Z38" s="12" t="str">
        <f t="shared" si="8"/>
        <v/>
      </c>
      <c r="AA38" s="12" t="str">
        <f t="shared" si="8"/>
        <v/>
      </c>
      <c r="AB38" s="12" t="str">
        <f t="shared" si="8"/>
        <v/>
      </c>
      <c r="AC38" s="12" t="str">
        <f t="shared" si="8"/>
        <v/>
      </c>
      <c r="AD38" s="12" t="str">
        <f t="shared" si="8"/>
        <v/>
      </c>
      <c r="AE38" s="18" t="str">
        <f t="shared" si="8"/>
        <v/>
      </c>
    </row>
    <row r="39" spans="1:31" x14ac:dyDescent="0.35">
      <c r="B39" s="74" t="s">
        <v>276</v>
      </c>
      <c r="C39" s="2" t="s">
        <v>277</v>
      </c>
      <c r="D39" s="2" t="s">
        <v>241</v>
      </c>
      <c r="F39" s="2"/>
      <c r="G39" s="2" t="s">
        <v>245</v>
      </c>
      <c r="H39" s="16" t="s">
        <v>218</v>
      </c>
      <c r="I39" s="16" t="s">
        <v>190</v>
      </c>
      <c r="J39" s="16">
        <v>4</v>
      </c>
      <c r="K39" s="17">
        <v>46052</v>
      </c>
      <c r="L39" s="102"/>
      <c r="M39" s="4"/>
      <c r="N39" s="211"/>
      <c r="O39" s="1"/>
      <c r="Q39" s="18" t="str">
        <f t="shared" ref="Q39:AE41" si="9">IF($J39=Q$2,"x","")</f>
        <v/>
      </c>
      <c r="R39" s="12" t="str">
        <f t="shared" si="9"/>
        <v/>
      </c>
      <c r="S39" s="12" t="str">
        <f t="shared" si="9"/>
        <v/>
      </c>
      <c r="T39" s="12" t="str">
        <f t="shared" si="9"/>
        <v>x</v>
      </c>
      <c r="U39" s="12" t="str">
        <f t="shared" si="9"/>
        <v/>
      </c>
      <c r="V39" s="12" t="str">
        <f t="shared" si="9"/>
        <v/>
      </c>
      <c r="W39" s="12" t="str">
        <f t="shared" si="9"/>
        <v/>
      </c>
      <c r="X39" s="18" t="str">
        <f t="shared" si="9"/>
        <v/>
      </c>
      <c r="Y39" s="12" t="str">
        <f t="shared" si="9"/>
        <v/>
      </c>
      <c r="Z39" s="12" t="str">
        <f t="shared" si="9"/>
        <v/>
      </c>
      <c r="AA39" s="12" t="str">
        <f t="shared" si="9"/>
        <v/>
      </c>
      <c r="AB39" s="12" t="str">
        <f t="shared" si="9"/>
        <v/>
      </c>
      <c r="AC39" s="12" t="str">
        <f t="shared" si="9"/>
        <v/>
      </c>
      <c r="AD39" s="12" t="str">
        <f t="shared" si="9"/>
        <v/>
      </c>
      <c r="AE39" s="18" t="str">
        <f t="shared" si="9"/>
        <v/>
      </c>
    </row>
    <row r="40" spans="1:31" x14ac:dyDescent="0.35">
      <c r="B40" s="74" t="s">
        <v>278</v>
      </c>
      <c r="C40" s="2" t="s">
        <v>279</v>
      </c>
      <c r="D40" s="2" t="s">
        <v>241</v>
      </c>
      <c r="F40" s="2"/>
      <c r="G40" s="2" t="s">
        <v>280</v>
      </c>
      <c r="H40" s="16" t="s">
        <v>218</v>
      </c>
      <c r="I40" s="16" t="s">
        <v>190</v>
      </c>
      <c r="J40" s="16">
        <v>4</v>
      </c>
      <c r="K40" s="17">
        <v>46052</v>
      </c>
      <c r="L40" s="102"/>
      <c r="M40" s="4"/>
      <c r="N40" s="211"/>
      <c r="O40" s="1"/>
      <c r="Q40" s="18" t="str">
        <f t="shared" si="9"/>
        <v/>
      </c>
      <c r="R40" s="12" t="str">
        <f t="shared" si="9"/>
        <v/>
      </c>
      <c r="S40" s="12" t="str">
        <f t="shared" si="9"/>
        <v/>
      </c>
      <c r="T40" s="12" t="str">
        <f t="shared" si="9"/>
        <v>x</v>
      </c>
      <c r="U40" s="12" t="str">
        <f t="shared" si="9"/>
        <v/>
      </c>
      <c r="V40" s="12" t="str">
        <f t="shared" si="9"/>
        <v/>
      </c>
      <c r="W40" s="12" t="str">
        <f t="shared" si="9"/>
        <v/>
      </c>
      <c r="X40" s="18" t="str">
        <f t="shared" si="9"/>
        <v/>
      </c>
      <c r="Y40" s="12" t="str">
        <f t="shared" si="9"/>
        <v/>
      </c>
      <c r="Z40" s="12" t="str">
        <f t="shared" si="9"/>
        <v/>
      </c>
      <c r="AA40" s="12" t="str">
        <f t="shared" si="9"/>
        <v/>
      </c>
      <c r="AB40" s="12" t="str">
        <f t="shared" si="9"/>
        <v/>
      </c>
      <c r="AC40" s="12" t="str">
        <f t="shared" si="9"/>
        <v/>
      </c>
      <c r="AD40" s="12" t="str">
        <f t="shared" si="9"/>
        <v/>
      </c>
      <c r="AE40" s="18" t="str">
        <f t="shared" si="9"/>
        <v/>
      </c>
    </row>
    <row r="41" spans="1:31" x14ac:dyDescent="0.35">
      <c r="B41" s="217" t="s">
        <v>181</v>
      </c>
      <c r="C41" s="157" t="s">
        <v>281</v>
      </c>
      <c r="D41" s="158"/>
      <c r="E41" s="158"/>
      <c r="F41" s="158"/>
      <c r="G41" s="158"/>
      <c r="H41" s="158"/>
      <c r="I41" s="158"/>
      <c r="J41" s="159">
        <v>5</v>
      </c>
      <c r="K41" s="160"/>
      <c r="L41" s="161"/>
      <c r="M41" s="158"/>
      <c r="N41" s="209"/>
      <c r="O41" s="1"/>
      <c r="Q41" s="18" t="str">
        <f t="shared" si="9"/>
        <v/>
      </c>
      <c r="R41" s="177"/>
      <c r="S41" s="177"/>
      <c r="T41" s="177"/>
      <c r="U41" s="177" t="s">
        <v>183</v>
      </c>
      <c r="V41" s="176"/>
      <c r="W41" s="176"/>
      <c r="X41" s="18" t="str">
        <f t="shared" si="9"/>
        <v/>
      </c>
      <c r="Y41" s="176"/>
      <c r="Z41" s="176"/>
      <c r="AA41" s="178"/>
      <c r="AB41" s="178"/>
      <c r="AC41" s="178"/>
      <c r="AD41" s="178"/>
      <c r="AE41" s="15"/>
    </row>
    <row r="42" spans="1:31" x14ac:dyDescent="0.35">
      <c r="B42" s="218" t="s">
        <v>282</v>
      </c>
      <c r="C42" s="162" t="s">
        <v>283</v>
      </c>
      <c r="D42" s="162" t="s">
        <v>186</v>
      </c>
      <c r="E42" s="162" t="s">
        <v>187</v>
      </c>
      <c r="F42" s="162"/>
      <c r="G42" s="162" t="s">
        <v>188</v>
      </c>
      <c r="H42" s="163" t="s">
        <v>189</v>
      </c>
      <c r="I42" s="163" t="s">
        <v>190</v>
      </c>
      <c r="J42" s="163">
        <v>5</v>
      </c>
      <c r="K42" s="163"/>
      <c r="L42" s="163"/>
      <c r="M42" s="163">
        <f>N42/6</f>
        <v>2</v>
      </c>
      <c r="N42" s="210">
        <v>12</v>
      </c>
      <c r="O42" s="1"/>
      <c r="Q42" s="18" t="str">
        <f t="shared" ref="Q42:AE46" si="10">IF($J42=Q$2,"x","")</f>
        <v/>
      </c>
      <c r="R42" s="177"/>
      <c r="S42" s="177"/>
      <c r="T42" s="177"/>
      <c r="U42" s="177" t="s">
        <v>183</v>
      </c>
      <c r="V42" s="176"/>
      <c r="W42" s="176"/>
      <c r="X42" s="18" t="str">
        <f t="shared" si="10"/>
        <v/>
      </c>
      <c r="Y42" s="176"/>
      <c r="Z42" s="176"/>
      <c r="AA42" s="178"/>
      <c r="AB42" s="178"/>
      <c r="AC42" s="178"/>
      <c r="AD42" s="178"/>
      <c r="AE42" s="15"/>
    </row>
    <row r="43" spans="1:31" x14ac:dyDescent="0.35">
      <c r="A43" s="2"/>
      <c r="B43" s="218" t="s">
        <v>284</v>
      </c>
      <c r="C43" s="162" t="s">
        <v>285</v>
      </c>
      <c r="D43" s="162" t="s">
        <v>186</v>
      </c>
      <c r="E43" s="162" t="s">
        <v>215</v>
      </c>
      <c r="F43" s="162" t="s">
        <v>286</v>
      </c>
      <c r="G43" s="162" t="s">
        <v>217</v>
      </c>
      <c r="H43" s="163" t="s">
        <v>218</v>
      </c>
      <c r="I43" s="163" t="s">
        <v>190</v>
      </c>
      <c r="J43" s="163">
        <v>5</v>
      </c>
      <c r="K43" s="163"/>
      <c r="L43" s="164"/>
      <c r="M43" s="163">
        <f>N43/6</f>
        <v>1</v>
      </c>
      <c r="N43" s="210">
        <v>6</v>
      </c>
      <c r="O43" s="1"/>
      <c r="Q43" s="18" t="str">
        <f t="shared" si="10"/>
        <v/>
      </c>
      <c r="R43" s="177"/>
      <c r="S43" s="177"/>
      <c r="T43" s="177"/>
      <c r="U43" s="177" t="s">
        <v>183</v>
      </c>
      <c r="V43" s="176"/>
      <c r="W43" s="176"/>
      <c r="X43" s="18" t="str">
        <f t="shared" si="10"/>
        <v/>
      </c>
      <c r="Y43" s="176"/>
      <c r="Z43" s="176"/>
      <c r="AA43" s="178"/>
      <c r="AB43" s="178"/>
      <c r="AC43" s="178"/>
      <c r="AD43" s="178"/>
      <c r="AE43" s="15"/>
    </row>
    <row r="44" spans="1:31" x14ac:dyDescent="0.35">
      <c r="A44" s="2"/>
      <c r="B44" s="218" t="s">
        <v>287</v>
      </c>
      <c r="C44" s="162" t="s">
        <v>288</v>
      </c>
      <c r="D44" s="162" t="s">
        <v>186</v>
      </c>
      <c r="E44" s="162" t="s">
        <v>289</v>
      </c>
      <c r="F44" s="162" t="s">
        <v>290</v>
      </c>
      <c r="G44" s="162" t="s">
        <v>291</v>
      </c>
      <c r="H44" s="163" t="s">
        <v>292</v>
      </c>
      <c r="I44" s="163" t="s">
        <v>190</v>
      </c>
      <c r="J44" s="163">
        <v>5</v>
      </c>
      <c r="K44" s="163"/>
      <c r="L44" s="164"/>
      <c r="M44" s="163">
        <f>N44/6</f>
        <v>2</v>
      </c>
      <c r="N44" s="210">
        <v>12</v>
      </c>
      <c r="O44" s="1"/>
      <c r="Q44" s="18" t="str">
        <f t="shared" si="10"/>
        <v/>
      </c>
      <c r="R44" s="177"/>
      <c r="S44" s="177"/>
      <c r="T44" s="177"/>
      <c r="U44" s="177" t="s">
        <v>183</v>
      </c>
      <c r="V44" s="176"/>
      <c r="W44" s="176"/>
      <c r="X44" s="18" t="str">
        <f t="shared" si="10"/>
        <v/>
      </c>
      <c r="Y44" s="176"/>
      <c r="Z44" s="176"/>
      <c r="AA44" s="178"/>
      <c r="AB44" s="178"/>
      <c r="AC44" s="178"/>
      <c r="AD44" s="178"/>
      <c r="AE44" s="15"/>
    </row>
    <row r="45" spans="1:31" x14ac:dyDescent="0.35">
      <c r="A45" s="2"/>
      <c r="B45" s="218" t="s">
        <v>293</v>
      </c>
      <c r="C45" s="162" t="s">
        <v>261</v>
      </c>
      <c r="D45" s="162" t="s">
        <v>186</v>
      </c>
      <c r="E45" s="162" t="s">
        <v>294</v>
      </c>
      <c r="F45" s="162"/>
      <c r="G45" s="162" t="s">
        <v>188</v>
      </c>
      <c r="H45" s="163" t="s">
        <v>189</v>
      </c>
      <c r="I45" s="163" t="s">
        <v>190</v>
      </c>
      <c r="J45" s="163">
        <v>5</v>
      </c>
      <c r="K45" s="163"/>
      <c r="L45" s="164"/>
      <c r="M45" s="163">
        <f>N45/6</f>
        <v>1</v>
      </c>
      <c r="N45" s="210">
        <v>6</v>
      </c>
      <c r="O45" s="1"/>
      <c r="Q45" s="18" t="str">
        <f t="shared" si="10"/>
        <v/>
      </c>
      <c r="R45" s="177"/>
      <c r="S45" s="177"/>
      <c r="T45" s="177"/>
      <c r="U45" s="177" t="s">
        <v>183</v>
      </c>
      <c r="V45" s="176"/>
      <c r="W45" s="176"/>
      <c r="X45" s="18" t="str">
        <f t="shared" si="10"/>
        <v/>
      </c>
      <c r="Y45" s="176"/>
      <c r="Z45" s="176"/>
      <c r="AA45" s="178"/>
      <c r="AB45" s="178"/>
      <c r="AC45" s="178"/>
      <c r="AD45" s="178"/>
      <c r="AE45" s="15"/>
    </row>
    <row r="46" spans="1:31" x14ac:dyDescent="0.35">
      <c r="A46" s="2"/>
      <c r="B46" s="74" t="s">
        <v>295</v>
      </c>
      <c r="C46" s="2" t="s">
        <v>296</v>
      </c>
      <c r="D46" s="2" t="s">
        <v>270</v>
      </c>
      <c r="F46" s="2"/>
      <c r="G46" s="2" t="s">
        <v>203</v>
      </c>
      <c r="H46" s="16" t="s">
        <v>189</v>
      </c>
      <c r="I46" s="16" t="s">
        <v>190</v>
      </c>
      <c r="J46" s="16">
        <v>5</v>
      </c>
      <c r="K46" s="17">
        <v>46059</v>
      </c>
      <c r="L46" s="102"/>
      <c r="M46" s="4"/>
      <c r="N46" s="211"/>
      <c r="O46" s="1"/>
      <c r="Q46" s="18" t="str">
        <f t="shared" si="10"/>
        <v/>
      </c>
      <c r="R46" s="12" t="str">
        <f t="shared" si="10"/>
        <v/>
      </c>
      <c r="S46" s="12" t="str">
        <f t="shared" si="10"/>
        <v/>
      </c>
      <c r="T46" s="12" t="str">
        <f t="shared" si="10"/>
        <v/>
      </c>
      <c r="U46" s="12" t="str">
        <f t="shared" si="10"/>
        <v>x</v>
      </c>
      <c r="V46" s="12" t="str">
        <f t="shared" si="10"/>
        <v/>
      </c>
      <c r="W46" s="12" t="str">
        <f t="shared" si="10"/>
        <v/>
      </c>
      <c r="X46" s="18" t="str">
        <f t="shared" si="10"/>
        <v/>
      </c>
      <c r="Y46" s="12" t="str">
        <f t="shared" si="10"/>
        <v/>
      </c>
      <c r="Z46" s="12" t="str">
        <f t="shared" si="10"/>
        <v/>
      </c>
      <c r="AA46" s="12" t="str">
        <f t="shared" si="10"/>
        <v/>
      </c>
      <c r="AB46" s="12" t="str">
        <f t="shared" si="10"/>
        <v/>
      </c>
      <c r="AC46" s="12" t="str">
        <f t="shared" si="10"/>
        <v/>
      </c>
      <c r="AD46" s="12" t="str">
        <f t="shared" si="10"/>
        <v/>
      </c>
      <c r="AE46" s="18" t="str">
        <f t="shared" si="10"/>
        <v/>
      </c>
    </row>
    <row r="47" spans="1:31" x14ac:dyDescent="0.35">
      <c r="B47" s="218" t="s">
        <v>297</v>
      </c>
      <c r="C47" s="162" t="s">
        <v>261</v>
      </c>
      <c r="D47" s="162" t="s">
        <v>186</v>
      </c>
      <c r="E47" s="162" t="s">
        <v>262</v>
      </c>
      <c r="F47" s="162"/>
      <c r="G47" s="162" t="s">
        <v>188</v>
      </c>
      <c r="H47" s="163" t="s">
        <v>189</v>
      </c>
      <c r="I47" s="163" t="s">
        <v>190</v>
      </c>
      <c r="J47" s="163">
        <v>5</v>
      </c>
      <c r="K47" s="163"/>
      <c r="L47" s="164"/>
      <c r="M47" s="163">
        <f>N47/6</f>
        <v>1</v>
      </c>
      <c r="N47" s="210">
        <v>6</v>
      </c>
      <c r="O47" s="1"/>
      <c r="Q47" s="18" t="str">
        <f t="shared" ref="Q47:AE49" si="11">IF($J47=Q$2,"x","")</f>
        <v/>
      </c>
      <c r="R47" s="177"/>
      <c r="S47" s="177"/>
      <c r="T47" s="177"/>
      <c r="U47" s="177" t="s">
        <v>183</v>
      </c>
      <c r="V47" s="176"/>
      <c r="W47" s="176"/>
      <c r="X47" s="18" t="str">
        <f t="shared" ref="X47" si="12">IF($J47=X$2,"x","")</f>
        <v/>
      </c>
      <c r="Y47" s="176"/>
      <c r="Z47" s="176"/>
      <c r="AA47" s="178"/>
      <c r="AB47" s="178"/>
      <c r="AC47" s="178"/>
      <c r="AD47" s="178"/>
      <c r="AE47" s="15"/>
    </row>
    <row r="48" spans="1:31" x14ac:dyDescent="0.35">
      <c r="B48" s="74" t="s">
        <v>298</v>
      </c>
      <c r="C48" s="2" t="s">
        <v>299</v>
      </c>
      <c r="D48" s="2" t="s">
        <v>270</v>
      </c>
      <c r="F48" s="2"/>
      <c r="G48" s="2" t="s">
        <v>203</v>
      </c>
      <c r="H48" s="16" t="s">
        <v>189</v>
      </c>
      <c r="I48" s="16" t="s">
        <v>190</v>
      </c>
      <c r="J48" s="16">
        <v>5</v>
      </c>
      <c r="K48" s="17">
        <v>46059</v>
      </c>
      <c r="L48" s="102"/>
      <c r="M48" s="4"/>
      <c r="N48" s="211"/>
      <c r="O48" s="1"/>
      <c r="Q48" s="18" t="str">
        <f t="shared" si="11"/>
        <v/>
      </c>
      <c r="R48" s="12" t="str">
        <f t="shared" si="11"/>
        <v/>
      </c>
      <c r="S48" s="12" t="str">
        <f t="shared" si="11"/>
        <v/>
      </c>
      <c r="T48" s="12" t="str">
        <f t="shared" si="11"/>
        <v/>
      </c>
      <c r="U48" s="12" t="str">
        <f t="shared" si="11"/>
        <v>x</v>
      </c>
      <c r="V48" s="12" t="str">
        <f t="shared" si="11"/>
        <v/>
      </c>
      <c r="W48" s="12" t="str">
        <f t="shared" si="11"/>
        <v/>
      </c>
      <c r="X48" s="18" t="str">
        <f t="shared" si="11"/>
        <v/>
      </c>
      <c r="Y48" s="12" t="str">
        <f t="shared" si="11"/>
        <v/>
      </c>
      <c r="Z48" s="12" t="str">
        <f t="shared" si="11"/>
        <v/>
      </c>
      <c r="AA48" s="12" t="str">
        <f t="shared" si="11"/>
        <v/>
      </c>
      <c r="AB48" s="12" t="str">
        <f t="shared" si="11"/>
        <v/>
      </c>
      <c r="AC48" s="12" t="str">
        <f t="shared" si="11"/>
        <v/>
      </c>
      <c r="AD48" s="12" t="str">
        <f t="shared" si="11"/>
        <v/>
      </c>
      <c r="AE48" s="18" t="str">
        <f t="shared" si="11"/>
        <v/>
      </c>
    </row>
    <row r="49" spans="2:31" x14ac:dyDescent="0.35">
      <c r="B49" s="74" t="s">
        <v>300</v>
      </c>
      <c r="C49" s="2" t="s">
        <v>301</v>
      </c>
      <c r="D49" s="2" t="s">
        <v>265</v>
      </c>
      <c r="F49" s="2"/>
      <c r="G49" s="2" t="s">
        <v>203</v>
      </c>
      <c r="H49" s="16" t="s">
        <v>189</v>
      </c>
      <c r="I49" s="16" t="s">
        <v>190</v>
      </c>
      <c r="J49" s="16">
        <v>5</v>
      </c>
      <c r="K49" s="17">
        <v>46059</v>
      </c>
      <c r="L49" s="102"/>
      <c r="M49" s="4"/>
      <c r="N49" s="211"/>
      <c r="O49" s="1"/>
      <c r="Q49" s="18" t="str">
        <f t="shared" si="11"/>
        <v/>
      </c>
      <c r="R49" s="12" t="str">
        <f t="shared" si="11"/>
        <v/>
      </c>
      <c r="S49" s="12" t="str">
        <f t="shared" si="11"/>
        <v/>
      </c>
      <c r="T49" s="12" t="str">
        <f t="shared" si="11"/>
        <v/>
      </c>
      <c r="U49" s="12" t="str">
        <f t="shared" si="11"/>
        <v>x</v>
      </c>
      <c r="V49" s="12" t="str">
        <f t="shared" si="11"/>
        <v/>
      </c>
      <c r="W49" s="12" t="str">
        <f t="shared" si="11"/>
        <v/>
      </c>
      <c r="X49" s="18" t="str">
        <f t="shared" si="11"/>
        <v/>
      </c>
      <c r="Y49" s="12" t="str">
        <f t="shared" si="11"/>
        <v/>
      </c>
      <c r="Z49" s="12" t="str">
        <f t="shared" si="11"/>
        <v/>
      </c>
      <c r="AA49" s="12" t="str">
        <f t="shared" si="11"/>
        <v/>
      </c>
      <c r="AB49" s="12" t="str">
        <f t="shared" si="11"/>
        <v/>
      </c>
      <c r="AC49" s="12" t="str">
        <f t="shared" si="11"/>
        <v/>
      </c>
      <c r="AD49" s="12" t="str">
        <f t="shared" si="11"/>
        <v/>
      </c>
      <c r="AE49" s="18" t="str">
        <f t="shared" si="11"/>
        <v/>
      </c>
    </row>
    <row r="50" spans="2:31" x14ac:dyDescent="0.35">
      <c r="B50" s="218" t="s">
        <v>302</v>
      </c>
      <c r="C50" s="162" t="s">
        <v>303</v>
      </c>
      <c r="D50" s="162" t="s">
        <v>186</v>
      </c>
      <c r="E50" s="162" t="s">
        <v>304</v>
      </c>
      <c r="F50" s="162" t="s">
        <v>286</v>
      </c>
      <c r="G50" s="162" t="s">
        <v>305</v>
      </c>
      <c r="H50" s="163" t="s">
        <v>218</v>
      </c>
      <c r="I50" s="163" t="s">
        <v>190</v>
      </c>
      <c r="J50" s="163">
        <v>5</v>
      </c>
      <c r="K50" s="163"/>
      <c r="L50" s="164"/>
      <c r="M50" s="163">
        <f>N50/6</f>
        <v>1</v>
      </c>
      <c r="N50" s="210">
        <v>6</v>
      </c>
      <c r="O50" s="1"/>
      <c r="Q50" s="18" t="str">
        <f t="shared" ref="Q50:AE55" si="13">IF($J50=Q$2,"x","")</f>
        <v/>
      </c>
      <c r="R50" s="177"/>
      <c r="S50" s="177"/>
      <c r="T50" s="177"/>
      <c r="U50" s="177" t="s">
        <v>183</v>
      </c>
      <c r="V50" s="176"/>
      <c r="W50" s="176"/>
      <c r="X50" s="18" t="str">
        <f t="shared" si="13"/>
        <v/>
      </c>
      <c r="Y50" s="176"/>
      <c r="Z50" s="176"/>
      <c r="AA50" s="178"/>
      <c r="AB50" s="178"/>
      <c r="AC50" s="178"/>
      <c r="AD50" s="178"/>
      <c r="AE50" s="15"/>
    </row>
    <row r="51" spans="2:31" x14ac:dyDescent="0.35">
      <c r="B51" s="74" t="s">
        <v>306</v>
      </c>
      <c r="C51" s="2" t="s">
        <v>307</v>
      </c>
      <c r="D51" s="2" t="s">
        <v>193</v>
      </c>
      <c r="F51" s="2"/>
      <c r="G51" s="2"/>
      <c r="H51" s="16" t="s">
        <v>218</v>
      </c>
      <c r="I51" s="16" t="s">
        <v>190</v>
      </c>
      <c r="J51" s="16">
        <v>5</v>
      </c>
      <c r="K51" s="17">
        <v>46059</v>
      </c>
      <c r="L51" s="102"/>
      <c r="N51" s="211"/>
      <c r="O51" s="1"/>
      <c r="Q51" s="18" t="str">
        <f t="shared" si="13"/>
        <v/>
      </c>
      <c r="R51" s="12" t="str">
        <f t="shared" si="13"/>
        <v/>
      </c>
      <c r="S51" s="12" t="str">
        <f t="shared" si="13"/>
        <v/>
      </c>
      <c r="T51" s="12" t="str">
        <f t="shared" si="13"/>
        <v/>
      </c>
      <c r="U51" s="12" t="str">
        <f t="shared" si="13"/>
        <v>x</v>
      </c>
      <c r="V51" s="12" t="str">
        <f t="shared" si="13"/>
        <v/>
      </c>
      <c r="W51" s="12" t="str">
        <f t="shared" si="13"/>
        <v/>
      </c>
      <c r="X51" s="18" t="str">
        <f t="shared" si="13"/>
        <v/>
      </c>
      <c r="Y51" s="12" t="str">
        <f t="shared" si="13"/>
        <v/>
      </c>
      <c r="Z51" s="12" t="str">
        <f t="shared" si="13"/>
        <v/>
      </c>
      <c r="AA51" s="12" t="str">
        <f t="shared" si="13"/>
        <v/>
      </c>
      <c r="AB51" s="12" t="str">
        <f t="shared" si="13"/>
        <v/>
      </c>
      <c r="AC51" s="12" t="str">
        <f t="shared" si="13"/>
        <v/>
      </c>
      <c r="AD51" s="12" t="str">
        <f t="shared" si="13"/>
        <v/>
      </c>
      <c r="AE51" s="18" t="str">
        <f t="shared" si="13"/>
        <v/>
      </c>
    </row>
    <row r="52" spans="2:31" x14ac:dyDescent="0.35">
      <c r="B52" s="74" t="s">
        <v>308</v>
      </c>
      <c r="C52" s="2" t="s">
        <v>309</v>
      </c>
      <c r="D52" s="2" t="s">
        <v>193</v>
      </c>
      <c r="F52" s="2"/>
      <c r="G52" s="2"/>
      <c r="H52" s="16" t="s">
        <v>218</v>
      </c>
      <c r="I52" s="16" t="s">
        <v>190</v>
      </c>
      <c r="J52" s="16">
        <v>5</v>
      </c>
      <c r="K52" s="17">
        <v>46059</v>
      </c>
      <c r="L52" s="102"/>
      <c r="N52" s="211"/>
      <c r="O52" s="1"/>
      <c r="Q52" s="18" t="str">
        <f t="shared" si="13"/>
        <v/>
      </c>
      <c r="R52" s="12" t="str">
        <f t="shared" si="13"/>
        <v/>
      </c>
      <c r="S52" s="12" t="str">
        <f t="shared" si="13"/>
        <v/>
      </c>
      <c r="T52" s="12" t="str">
        <f t="shared" si="13"/>
        <v/>
      </c>
      <c r="U52" s="12" t="str">
        <f t="shared" si="13"/>
        <v>x</v>
      </c>
      <c r="V52" s="12" t="str">
        <f t="shared" si="13"/>
        <v/>
      </c>
      <c r="W52" s="12" t="str">
        <f t="shared" si="13"/>
        <v/>
      </c>
      <c r="X52" s="18" t="str">
        <f t="shared" si="13"/>
        <v/>
      </c>
      <c r="Y52" s="12" t="str">
        <f t="shared" si="13"/>
        <v/>
      </c>
      <c r="Z52" s="12" t="str">
        <f t="shared" si="13"/>
        <v/>
      </c>
      <c r="AA52" s="12" t="str">
        <f t="shared" si="13"/>
        <v/>
      </c>
      <c r="AB52" s="12" t="str">
        <f t="shared" si="13"/>
        <v/>
      </c>
      <c r="AC52" s="12" t="str">
        <f t="shared" si="13"/>
        <v/>
      </c>
      <c r="AD52" s="12" t="str">
        <f t="shared" si="13"/>
        <v/>
      </c>
      <c r="AE52" s="18" t="str">
        <f t="shared" si="13"/>
        <v/>
      </c>
    </row>
    <row r="53" spans="2:31" x14ac:dyDescent="0.35">
      <c r="B53" s="74" t="s">
        <v>310</v>
      </c>
      <c r="C53" s="2" t="s">
        <v>311</v>
      </c>
      <c r="D53" s="2" t="s">
        <v>193</v>
      </c>
      <c r="F53" s="2"/>
      <c r="G53" s="2"/>
      <c r="H53" s="16" t="s">
        <v>218</v>
      </c>
      <c r="I53" s="16" t="s">
        <v>190</v>
      </c>
      <c r="J53" s="16">
        <v>5</v>
      </c>
      <c r="K53" s="17">
        <v>46059</v>
      </c>
      <c r="L53" s="102"/>
      <c r="N53" s="211"/>
      <c r="O53" s="1"/>
      <c r="Q53" s="18" t="str">
        <f t="shared" si="13"/>
        <v/>
      </c>
      <c r="R53" s="12" t="str">
        <f t="shared" si="13"/>
        <v/>
      </c>
      <c r="S53" s="12" t="str">
        <f t="shared" si="13"/>
        <v/>
      </c>
      <c r="T53" s="12" t="str">
        <f t="shared" si="13"/>
        <v/>
      </c>
      <c r="U53" s="12" t="str">
        <f t="shared" si="13"/>
        <v>x</v>
      </c>
      <c r="V53" s="12" t="str">
        <f t="shared" si="13"/>
        <v/>
      </c>
      <c r="W53" s="12" t="str">
        <f t="shared" si="13"/>
        <v/>
      </c>
      <c r="X53" s="18" t="str">
        <f t="shared" si="13"/>
        <v/>
      </c>
      <c r="Y53" s="12" t="str">
        <f t="shared" si="13"/>
        <v/>
      </c>
      <c r="Z53" s="12" t="str">
        <f t="shared" si="13"/>
        <v/>
      </c>
      <c r="AA53" s="12" t="str">
        <f t="shared" si="13"/>
        <v/>
      </c>
      <c r="AB53" s="12" t="str">
        <f t="shared" si="13"/>
        <v/>
      </c>
      <c r="AC53" s="12" t="str">
        <f t="shared" si="13"/>
        <v/>
      </c>
      <c r="AD53" s="12" t="str">
        <f t="shared" si="13"/>
        <v/>
      </c>
      <c r="AE53" s="18" t="str">
        <f t="shared" si="13"/>
        <v/>
      </c>
    </row>
    <row r="54" spans="2:31" x14ac:dyDescent="0.35">
      <c r="B54" s="74" t="s">
        <v>312</v>
      </c>
      <c r="C54" s="2" t="s">
        <v>313</v>
      </c>
      <c r="D54" s="2" t="s">
        <v>241</v>
      </c>
      <c r="F54" s="2"/>
      <c r="G54" s="2" t="s">
        <v>248</v>
      </c>
      <c r="H54" s="16" t="s">
        <v>218</v>
      </c>
      <c r="I54" s="16" t="s">
        <v>190</v>
      </c>
      <c r="J54" s="16">
        <v>5</v>
      </c>
      <c r="K54" s="17">
        <v>46059</v>
      </c>
      <c r="L54" s="102"/>
      <c r="N54" s="211"/>
      <c r="O54" s="1"/>
      <c r="Q54" s="18"/>
      <c r="R54" s="12"/>
      <c r="S54" s="12"/>
      <c r="T54" s="12"/>
      <c r="U54" s="12" t="s">
        <v>183</v>
      </c>
      <c r="V54" s="12"/>
      <c r="W54" s="12"/>
      <c r="X54" s="18"/>
      <c r="Y54" s="12"/>
      <c r="Z54" s="12"/>
      <c r="AA54" s="12"/>
      <c r="AB54" s="12"/>
      <c r="AC54" s="12"/>
      <c r="AD54" s="12"/>
      <c r="AE54" s="18"/>
    </row>
    <row r="55" spans="2:31" x14ac:dyDescent="0.35">
      <c r="B55" s="74" t="s">
        <v>314</v>
      </c>
      <c r="C55" s="2" t="s">
        <v>315</v>
      </c>
      <c r="D55" s="2" t="s">
        <v>241</v>
      </c>
      <c r="F55" s="2"/>
      <c r="G55" s="2" t="s">
        <v>251</v>
      </c>
      <c r="H55" s="16" t="s">
        <v>218</v>
      </c>
      <c r="I55" s="16" t="s">
        <v>190</v>
      </c>
      <c r="J55" s="16">
        <v>5</v>
      </c>
      <c r="K55" s="17">
        <v>46059</v>
      </c>
      <c r="L55" s="102"/>
      <c r="M55" s="4"/>
      <c r="N55" s="211"/>
      <c r="O55" s="1">
        <v>0</v>
      </c>
      <c r="Q55" s="18" t="str">
        <f t="shared" si="13"/>
        <v/>
      </c>
      <c r="R55" s="12" t="str">
        <f t="shared" si="13"/>
        <v/>
      </c>
      <c r="S55" s="12" t="str">
        <f t="shared" si="13"/>
        <v/>
      </c>
      <c r="T55" s="12" t="str">
        <f t="shared" si="13"/>
        <v/>
      </c>
      <c r="U55" s="12" t="str">
        <f t="shared" si="13"/>
        <v>x</v>
      </c>
      <c r="V55" s="12" t="str">
        <f t="shared" si="13"/>
        <v/>
      </c>
      <c r="W55" s="12" t="str">
        <f t="shared" si="13"/>
        <v/>
      </c>
      <c r="X55" s="18" t="str">
        <f t="shared" si="13"/>
        <v/>
      </c>
      <c r="Y55" s="12" t="str">
        <f t="shared" si="13"/>
        <v/>
      </c>
      <c r="Z55" s="12" t="str">
        <f t="shared" si="13"/>
        <v/>
      </c>
      <c r="AA55" s="12" t="str">
        <f t="shared" si="13"/>
        <v/>
      </c>
      <c r="AB55" s="12" t="str">
        <f t="shared" si="13"/>
        <v/>
      </c>
      <c r="AC55" s="12" t="str">
        <f t="shared" si="13"/>
        <v/>
      </c>
      <c r="AD55" s="12" t="str">
        <f t="shared" si="13"/>
        <v/>
      </c>
      <c r="AE55" s="18" t="str">
        <f t="shared" si="13"/>
        <v/>
      </c>
    </row>
    <row r="56" spans="2:31" x14ac:dyDescent="0.35">
      <c r="B56" s="74" t="s">
        <v>316</v>
      </c>
      <c r="C56" s="2" t="s">
        <v>317</v>
      </c>
      <c r="D56" s="2" t="s">
        <v>241</v>
      </c>
      <c r="F56" s="2"/>
      <c r="G56" s="2" t="s">
        <v>318</v>
      </c>
      <c r="H56" s="16" t="s">
        <v>218</v>
      </c>
      <c r="I56" s="16" t="s">
        <v>190</v>
      </c>
      <c r="J56" s="16">
        <v>5</v>
      </c>
      <c r="K56" s="17">
        <v>46059</v>
      </c>
      <c r="L56" s="102"/>
      <c r="M56" s="4"/>
      <c r="N56" s="211"/>
      <c r="O56" s="1">
        <v>0</v>
      </c>
      <c r="Q56" s="18" t="str">
        <f t="shared" ref="Q56:AE59" si="14">IF($J56=Q$2,"x","")</f>
        <v/>
      </c>
      <c r="R56" s="12" t="str">
        <f t="shared" si="14"/>
        <v/>
      </c>
      <c r="S56" s="12" t="str">
        <f t="shared" si="14"/>
        <v/>
      </c>
      <c r="T56" s="12" t="str">
        <f t="shared" si="14"/>
        <v/>
      </c>
      <c r="U56" s="12" t="str">
        <f t="shared" si="14"/>
        <v>x</v>
      </c>
      <c r="V56" s="12" t="str">
        <f t="shared" si="14"/>
        <v/>
      </c>
      <c r="W56" s="12" t="str">
        <f t="shared" si="14"/>
        <v/>
      </c>
      <c r="X56" s="18" t="str">
        <f t="shared" si="14"/>
        <v/>
      </c>
      <c r="Y56" s="12" t="str">
        <f t="shared" si="14"/>
        <v/>
      </c>
      <c r="Z56" s="12" t="str">
        <f t="shared" si="14"/>
        <v/>
      </c>
      <c r="AA56" s="12" t="str">
        <f t="shared" si="14"/>
        <v/>
      </c>
      <c r="AB56" s="12" t="str">
        <f t="shared" si="14"/>
        <v/>
      </c>
      <c r="AC56" s="12" t="str">
        <f t="shared" si="14"/>
        <v/>
      </c>
      <c r="AD56" s="12" t="str">
        <f t="shared" si="14"/>
        <v/>
      </c>
      <c r="AE56" s="18" t="str">
        <f t="shared" si="14"/>
        <v/>
      </c>
    </row>
    <row r="57" spans="2:31" x14ac:dyDescent="0.35">
      <c r="B57" s="74" t="s">
        <v>319</v>
      </c>
      <c r="C57" s="2" t="s">
        <v>320</v>
      </c>
      <c r="D57" s="2" t="s">
        <v>241</v>
      </c>
      <c r="F57" s="2"/>
      <c r="G57" s="2" t="s">
        <v>321</v>
      </c>
      <c r="H57" s="16" t="s">
        <v>218</v>
      </c>
      <c r="I57" s="16" t="s">
        <v>190</v>
      </c>
      <c r="J57" s="16">
        <v>5</v>
      </c>
      <c r="K57" s="17">
        <v>46059</v>
      </c>
      <c r="L57" s="102"/>
      <c r="M57" s="4"/>
      <c r="N57" s="211"/>
      <c r="O57" s="1">
        <v>0</v>
      </c>
      <c r="Q57" s="18" t="str">
        <f t="shared" si="14"/>
        <v/>
      </c>
      <c r="R57" s="12" t="str">
        <f t="shared" si="14"/>
        <v/>
      </c>
      <c r="S57" s="12" t="str">
        <f t="shared" si="14"/>
        <v/>
      </c>
      <c r="T57" s="12" t="str">
        <f t="shared" si="14"/>
        <v/>
      </c>
      <c r="U57" s="12" t="str">
        <f t="shared" si="14"/>
        <v>x</v>
      </c>
      <c r="V57" s="12" t="str">
        <f t="shared" si="14"/>
        <v/>
      </c>
      <c r="W57" s="12" t="str">
        <f t="shared" si="14"/>
        <v/>
      </c>
      <c r="X57" s="18" t="str">
        <f t="shared" si="14"/>
        <v/>
      </c>
      <c r="Y57" s="12" t="str">
        <f t="shared" si="14"/>
        <v/>
      </c>
      <c r="Z57" s="12" t="str">
        <f t="shared" si="14"/>
        <v/>
      </c>
      <c r="AA57" s="12" t="str">
        <f t="shared" si="14"/>
        <v/>
      </c>
      <c r="AB57" s="12" t="str">
        <f t="shared" si="14"/>
        <v/>
      </c>
      <c r="AC57" s="12" t="str">
        <f t="shared" si="14"/>
        <v/>
      </c>
      <c r="AD57" s="12" t="str">
        <f t="shared" si="14"/>
        <v/>
      </c>
      <c r="AE57" s="18" t="str">
        <f t="shared" si="14"/>
        <v/>
      </c>
    </row>
    <row r="58" spans="2:31" x14ac:dyDescent="0.35">
      <c r="B58" s="74" t="s">
        <v>322</v>
      </c>
      <c r="C58" s="2" t="s">
        <v>323</v>
      </c>
      <c r="D58" s="2" t="s">
        <v>241</v>
      </c>
      <c r="F58" s="2"/>
      <c r="G58" s="2" t="s">
        <v>324</v>
      </c>
      <c r="H58" s="16" t="s">
        <v>218</v>
      </c>
      <c r="I58" s="16" t="s">
        <v>190</v>
      </c>
      <c r="J58" s="16">
        <v>5</v>
      </c>
      <c r="K58" s="17">
        <v>46059</v>
      </c>
      <c r="L58" s="102"/>
      <c r="M58" s="4"/>
      <c r="N58" s="211"/>
      <c r="O58" s="1"/>
      <c r="Q58" s="18" t="str">
        <f t="shared" si="14"/>
        <v/>
      </c>
      <c r="R58" s="12" t="str">
        <f t="shared" si="14"/>
        <v/>
      </c>
      <c r="S58" s="12" t="str">
        <f t="shared" si="14"/>
        <v/>
      </c>
      <c r="T58" s="12" t="str">
        <f t="shared" si="14"/>
        <v/>
      </c>
      <c r="U58" s="12" t="str">
        <f t="shared" si="14"/>
        <v>x</v>
      </c>
      <c r="V58" s="12" t="str">
        <f t="shared" si="14"/>
        <v/>
      </c>
      <c r="W58" s="12" t="str">
        <f t="shared" si="14"/>
        <v/>
      </c>
      <c r="X58" s="18" t="str">
        <f t="shared" si="14"/>
        <v/>
      </c>
      <c r="Y58" s="12" t="str">
        <f t="shared" si="14"/>
        <v/>
      </c>
      <c r="Z58" s="12" t="str">
        <f t="shared" si="14"/>
        <v/>
      </c>
      <c r="AA58" s="12" t="str">
        <f t="shared" si="14"/>
        <v/>
      </c>
      <c r="AB58" s="12" t="str">
        <f t="shared" si="14"/>
        <v/>
      </c>
      <c r="AC58" s="12" t="str">
        <f t="shared" si="14"/>
        <v/>
      </c>
      <c r="AD58" s="12" t="str">
        <f t="shared" si="14"/>
        <v/>
      </c>
      <c r="AE58" s="18" t="str">
        <f t="shared" si="14"/>
        <v/>
      </c>
    </row>
    <row r="59" spans="2:31" x14ac:dyDescent="0.35">
      <c r="B59" s="74" t="s">
        <v>325</v>
      </c>
      <c r="C59" s="2" t="s">
        <v>326</v>
      </c>
      <c r="D59" s="2" t="s">
        <v>241</v>
      </c>
      <c r="F59" s="2"/>
      <c r="G59" s="2" t="s">
        <v>327</v>
      </c>
      <c r="H59" s="16" t="s">
        <v>218</v>
      </c>
      <c r="I59" s="16" t="s">
        <v>190</v>
      </c>
      <c r="J59" s="16">
        <v>5</v>
      </c>
      <c r="K59" s="17">
        <v>46059</v>
      </c>
      <c r="L59" s="102"/>
      <c r="M59" s="4"/>
      <c r="N59" s="211"/>
      <c r="O59" s="1"/>
      <c r="Q59" s="18" t="str">
        <f t="shared" si="14"/>
        <v/>
      </c>
      <c r="R59" s="12" t="str">
        <f t="shared" si="14"/>
        <v/>
      </c>
      <c r="S59" s="12" t="str">
        <f t="shared" si="14"/>
        <v/>
      </c>
      <c r="T59" s="12" t="str">
        <f t="shared" si="14"/>
        <v/>
      </c>
      <c r="U59" s="12" t="str">
        <f t="shared" si="14"/>
        <v>x</v>
      </c>
      <c r="V59" s="12" t="str">
        <f t="shared" si="14"/>
        <v/>
      </c>
      <c r="W59" s="12" t="str">
        <f t="shared" si="14"/>
        <v/>
      </c>
      <c r="X59" s="18" t="str">
        <f t="shared" si="14"/>
        <v/>
      </c>
      <c r="Y59" s="12" t="str">
        <f t="shared" si="14"/>
        <v/>
      </c>
      <c r="Z59" s="12" t="str">
        <f t="shared" si="14"/>
        <v/>
      </c>
      <c r="AA59" s="12" t="str">
        <f t="shared" si="14"/>
        <v/>
      </c>
      <c r="AB59" s="12" t="str">
        <f t="shared" si="14"/>
        <v/>
      </c>
      <c r="AC59" s="12" t="str">
        <f t="shared" si="14"/>
        <v/>
      </c>
      <c r="AD59" s="12" t="str">
        <f t="shared" si="14"/>
        <v/>
      </c>
      <c r="AE59" s="18" t="str">
        <f t="shared" si="14"/>
        <v/>
      </c>
    </row>
    <row r="60" spans="2:31" x14ac:dyDescent="0.35">
      <c r="B60" s="218" t="s">
        <v>328</v>
      </c>
      <c r="C60" s="162" t="s">
        <v>329</v>
      </c>
      <c r="D60" s="162" t="s">
        <v>186</v>
      </c>
      <c r="E60" s="162" t="s">
        <v>330</v>
      </c>
      <c r="F60" s="162" t="s">
        <v>286</v>
      </c>
      <c r="G60" s="162" t="s">
        <v>331</v>
      </c>
      <c r="H60" s="163" t="s">
        <v>218</v>
      </c>
      <c r="I60" s="163" t="s">
        <v>190</v>
      </c>
      <c r="J60" s="163">
        <v>5</v>
      </c>
      <c r="K60" s="163"/>
      <c r="L60" s="164"/>
      <c r="M60" s="163">
        <f>N60/6</f>
        <v>1</v>
      </c>
      <c r="N60" s="210">
        <v>6</v>
      </c>
      <c r="O60" s="1"/>
      <c r="Q60" s="18" t="str">
        <f t="shared" ref="Q60:AE70" si="15">IF($J60=Q$2,"x","")</f>
        <v/>
      </c>
      <c r="R60" s="177"/>
      <c r="S60" s="177"/>
      <c r="T60" s="177"/>
      <c r="U60" s="177" t="s">
        <v>183</v>
      </c>
      <c r="V60" s="176"/>
      <c r="W60" s="176"/>
      <c r="X60" s="18" t="str">
        <f t="shared" ref="X60:X63" si="16">IF($J60=X$2,"x","")</f>
        <v/>
      </c>
      <c r="Y60" s="176"/>
      <c r="Z60" s="176"/>
      <c r="AA60" s="178"/>
      <c r="AB60" s="178"/>
      <c r="AC60" s="178"/>
      <c r="AD60" s="178"/>
      <c r="AE60" s="15"/>
    </row>
    <row r="61" spans="2:31" x14ac:dyDescent="0.35">
      <c r="B61" s="217" t="s">
        <v>181</v>
      </c>
      <c r="C61" s="157" t="s">
        <v>332</v>
      </c>
      <c r="D61" s="158"/>
      <c r="E61" s="158"/>
      <c r="F61" s="158"/>
      <c r="G61" s="158"/>
      <c r="H61" s="158"/>
      <c r="I61" s="158"/>
      <c r="J61" s="159">
        <v>6</v>
      </c>
      <c r="K61" s="160"/>
      <c r="L61" s="161"/>
      <c r="M61" s="158"/>
      <c r="N61" s="209"/>
      <c r="O61" s="1"/>
      <c r="Q61" s="18" t="str">
        <f t="shared" si="15"/>
        <v/>
      </c>
      <c r="R61" s="177"/>
      <c r="S61" s="177"/>
      <c r="T61" s="177"/>
      <c r="U61" s="177"/>
      <c r="V61" s="176" t="s">
        <v>183</v>
      </c>
      <c r="W61" s="176"/>
      <c r="X61" s="18" t="str">
        <f t="shared" si="15"/>
        <v/>
      </c>
      <c r="Y61" s="176"/>
      <c r="Z61" s="176"/>
      <c r="AA61" s="178"/>
      <c r="AB61" s="178"/>
      <c r="AC61" s="178"/>
      <c r="AD61" s="178"/>
      <c r="AE61" s="15"/>
    </row>
    <row r="62" spans="2:31" x14ac:dyDescent="0.35">
      <c r="B62" s="219" t="s">
        <v>333</v>
      </c>
      <c r="C62" s="173" t="s">
        <v>334</v>
      </c>
      <c r="D62" s="173" t="s">
        <v>186</v>
      </c>
      <c r="E62" s="173" t="s">
        <v>187</v>
      </c>
      <c r="F62" s="173"/>
      <c r="G62" s="173" t="s">
        <v>188</v>
      </c>
      <c r="H62" s="174" t="s">
        <v>189</v>
      </c>
      <c r="I62" s="174" t="s">
        <v>335</v>
      </c>
      <c r="J62" s="174">
        <v>6</v>
      </c>
      <c r="K62" s="174"/>
      <c r="L62" s="174"/>
      <c r="M62" s="174">
        <f>N62/6</f>
        <v>3</v>
      </c>
      <c r="N62" s="214">
        <v>18</v>
      </c>
      <c r="O62" s="1"/>
      <c r="Q62" s="18" t="str">
        <f t="shared" si="15"/>
        <v/>
      </c>
      <c r="R62" s="177"/>
      <c r="S62" s="177"/>
      <c r="T62" s="177"/>
      <c r="U62" s="177"/>
      <c r="V62" s="176" t="s">
        <v>183</v>
      </c>
      <c r="W62" s="176"/>
      <c r="X62" s="18" t="str">
        <f t="shared" si="16"/>
        <v/>
      </c>
      <c r="Y62" s="176"/>
      <c r="Z62" s="176"/>
      <c r="AA62" s="178"/>
      <c r="AB62" s="178"/>
      <c r="AC62" s="178"/>
      <c r="AD62" s="178"/>
      <c r="AE62" s="15"/>
    </row>
    <row r="63" spans="2:31" x14ac:dyDescent="0.35">
      <c r="B63" s="219" t="s">
        <v>336</v>
      </c>
      <c r="C63" s="173" t="s">
        <v>261</v>
      </c>
      <c r="D63" s="173" t="s">
        <v>186</v>
      </c>
      <c r="E63" s="173" t="s">
        <v>294</v>
      </c>
      <c r="F63" s="173"/>
      <c r="G63" s="173" t="s">
        <v>188</v>
      </c>
      <c r="H63" s="174" t="s">
        <v>189</v>
      </c>
      <c r="I63" s="174" t="s">
        <v>335</v>
      </c>
      <c r="J63" s="174">
        <v>6</v>
      </c>
      <c r="K63" s="174"/>
      <c r="L63" s="175"/>
      <c r="M63" s="174">
        <f>N63/6</f>
        <v>2</v>
      </c>
      <c r="N63" s="214">
        <v>12</v>
      </c>
      <c r="O63" s="1"/>
      <c r="Q63" s="18" t="str">
        <f t="shared" si="15"/>
        <v/>
      </c>
      <c r="R63" s="177"/>
      <c r="S63" s="177"/>
      <c r="T63" s="177"/>
      <c r="U63" s="177"/>
      <c r="V63" s="176" t="s">
        <v>183</v>
      </c>
      <c r="W63" s="176"/>
      <c r="X63" s="18" t="str">
        <f t="shared" si="16"/>
        <v/>
      </c>
      <c r="Y63" s="176"/>
      <c r="Z63" s="176"/>
      <c r="AA63" s="178"/>
      <c r="AB63" s="178"/>
      <c r="AC63" s="178"/>
      <c r="AD63" s="178"/>
      <c r="AE63" s="15"/>
    </row>
    <row r="64" spans="2:31" x14ac:dyDescent="0.35">
      <c r="B64" s="74" t="s">
        <v>337</v>
      </c>
      <c r="C64" s="2" t="s">
        <v>338</v>
      </c>
      <c r="D64" s="2" t="s">
        <v>193</v>
      </c>
      <c r="F64" s="2"/>
      <c r="G64" s="2" t="s">
        <v>203</v>
      </c>
      <c r="H64" s="16" t="s">
        <v>189</v>
      </c>
      <c r="I64" s="16" t="s">
        <v>335</v>
      </c>
      <c r="J64" s="16">
        <v>6</v>
      </c>
      <c r="K64" s="17">
        <v>46066</v>
      </c>
      <c r="L64" s="102"/>
      <c r="N64" s="211"/>
      <c r="O64" s="1"/>
      <c r="Q64" s="18" t="str">
        <f t="shared" si="15"/>
        <v/>
      </c>
      <c r="R64" s="12" t="str">
        <f t="shared" si="15"/>
        <v/>
      </c>
      <c r="S64" s="12" t="str">
        <f t="shared" si="15"/>
        <v/>
      </c>
      <c r="T64" s="12" t="str">
        <f t="shared" si="15"/>
        <v/>
      </c>
      <c r="U64" s="12" t="str">
        <f t="shared" si="15"/>
        <v/>
      </c>
      <c r="V64" s="12" t="str">
        <f t="shared" si="15"/>
        <v>x</v>
      </c>
      <c r="W64" s="12" t="str">
        <f t="shared" si="15"/>
        <v/>
      </c>
      <c r="X64" s="18" t="str">
        <f t="shared" si="15"/>
        <v/>
      </c>
      <c r="Y64" s="12" t="str">
        <f t="shared" si="15"/>
        <v/>
      </c>
      <c r="Z64" s="12" t="str">
        <f t="shared" si="15"/>
        <v/>
      </c>
      <c r="AA64" s="12" t="str">
        <f t="shared" si="15"/>
        <v/>
      </c>
      <c r="AB64" s="12" t="str">
        <f t="shared" si="15"/>
        <v/>
      </c>
      <c r="AC64" s="12" t="str">
        <f t="shared" si="15"/>
        <v/>
      </c>
      <c r="AD64" s="12" t="str">
        <f t="shared" si="15"/>
        <v/>
      </c>
      <c r="AE64" s="18" t="str">
        <f t="shared" si="15"/>
        <v/>
      </c>
    </row>
    <row r="65" spans="1:31" x14ac:dyDescent="0.35">
      <c r="B65" s="74" t="s">
        <v>339</v>
      </c>
      <c r="C65" s="2" t="s">
        <v>340</v>
      </c>
      <c r="D65" s="2" t="s">
        <v>193</v>
      </c>
      <c r="F65" s="2"/>
      <c r="G65" s="2" t="s">
        <v>203</v>
      </c>
      <c r="H65" s="16" t="s">
        <v>189</v>
      </c>
      <c r="I65" s="16" t="s">
        <v>335</v>
      </c>
      <c r="J65" s="16">
        <v>6</v>
      </c>
      <c r="K65" s="17">
        <v>46066</v>
      </c>
      <c r="L65" s="102"/>
      <c r="N65" s="211"/>
      <c r="O65" s="1"/>
      <c r="Q65" s="18" t="str">
        <f t="shared" si="15"/>
        <v/>
      </c>
      <c r="R65" s="12" t="str">
        <f t="shared" si="15"/>
        <v/>
      </c>
      <c r="S65" s="12" t="str">
        <f t="shared" si="15"/>
        <v/>
      </c>
      <c r="T65" s="12" t="str">
        <f t="shared" si="15"/>
        <v/>
      </c>
      <c r="U65" s="12" t="str">
        <f t="shared" si="15"/>
        <v/>
      </c>
      <c r="V65" s="12" t="str">
        <f t="shared" si="15"/>
        <v>x</v>
      </c>
      <c r="W65" s="12" t="str">
        <f t="shared" si="15"/>
        <v/>
      </c>
      <c r="X65" s="18" t="str">
        <f t="shared" si="15"/>
        <v/>
      </c>
      <c r="Y65" s="12" t="str">
        <f t="shared" si="15"/>
        <v/>
      </c>
      <c r="Z65" s="12" t="str">
        <f t="shared" si="15"/>
        <v/>
      </c>
      <c r="AA65" s="12" t="str">
        <f t="shared" si="15"/>
        <v/>
      </c>
      <c r="AB65" s="12" t="str">
        <f t="shared" si="15"/>
        <v/>
      </c>
      <c r="AC65" s="12" t="str">
        <f t="shared" si="15"/>
        <v/>
      </c>
      <c r="AD65" s="12" t="str">
        <f t="shared" si="15"/>
        <v/>
      </c>
      <c r="AE65" s="18" t="str">
        <f t="shared" si="15"/>
        <v/>
      </c>
    </row>
    <row r="66" spans="1:31" x14ac:dyDescent="0.35">
      <c r="B66" s="74" t="s">
        <v>341</v>
      </c>
      <c r="C66" s="2" t="s">
        <v>342</v>
      </c>
      <c r="D66" s="2" t="s">
        <v>193</v>
      </c>
      <c r="F66" s="2"/>
      <c r="G66" s="2" t="s">
        <v>203</v>
      </c>
      <c r="H66" s="16" t="s">
        <v>189</v>
      </c>
      <c r="I66" s="16" t="s">
        <v>335</v>
      </c>
      <c r="J66" s="16">
        <v>6</v>
      </c>
      <c r="K66" s="17">
        <v>46066</v>
      </c>
      <c r="L66" s="102"/>
      <c r="N66" s="211"/>
      <c r="O66" s="1"/>
      <c r="Q66" s="18" t="str">
        <f t="shared" si="15"/>
        <v/>
      </c>
      <c r="R66" s="12" t="str">
        <f t="shared" si="15"/>
        <v/>
      </c>
      <c r="S66" s="12" t="str">
        <f t="shared" si="15"/>
        <v/>
      </c>
      <c r="T66" s="12" t="str">
        <f t="shared" si="15"/>
        <v/>
      </c>
      <c r="U66" s="12" t="str">
        <f t="shared" si="15"/>
        <v/>
      </c>
      <c r="V66" s="12" t="str">
        <f t="shared" si="15"/>
        <v>x</v>
      </c>
      <c r="W66" s="12" t="str">
        <f t="shared" si="15"/>
        <v/>
      </c>
      <c r="X66" s="18" t="str">
        <f t="shared" si="15"/>
        <v/>
      </c>
      <c r="Y66" s="12" t="str">
        <f t="shared" si="15"/>
        <v/>
      </c>
      <c r="Z66" s="12" t="str">
        <f t="shared" si="15"/>
        <v/>
      </c>
      <c r="AA66" s="12" t="str">
        <f t="shared" si="15"/>
        <v/>
      </c>
      <c r="AB66" s="12" t="str">
        <f t="shared" si="15"/>
        <v/>
      </c>
      <c r="AC66" s="12" t="str">
        <f t="shared" si="15"/>
        <v/>
      </c>
      <c r="AD66" s="12" t="str">
        <f t="shared" si="15"/>
        <v/>
      </c>
      <c r="AE66" s="18" t="str">
        <f t="shared" si="15"/>
        <v/>
      </c>
    </row>
    <row r="67" spans="1:31" x14ac:dyDescent="0.35">
      <c r="B67" s="75" t="s">
        <v>343</v>
      </c>
      <c r="C67" s="2" t="s">
        <v>344</v>
      </c>
      <c r="D67" s="2" t="s">
        <v>270</v>
      </c>
      <c r="F67" s="2"/>
      <c r="G67" s="2" t="s">
        <v>203</v>
      </c>
      <c r="H67" s="16" t="s">
        <v>189</v>
      </c>
      <c r="I67" s="16" t="s">
        <v>335</v>
      </c>
      <c r="J67" s="16">
        <v>6</v>
      </c>
      <c r="K67" s="17">
        <v>46066</v>
      </c>
      <c r="L67" s="102"/>
      <c r="M67" s="4"/>
      <c r="N67" s="211"/>
      <c r="O67" s="1"/>
      <c r="Q67" s="18" t="str">
        <f t="shared" si="15"/>
        <v/>
      </c>
      <c r="R67" s="12" t="str">
        <f t="shared" si="15"/>
        <v/>
      </c>
      <c r="S67" s="12" t="str">
        <f t="shared" si="15"/>
        <v/>
      </c>
      <c r="T67" s="12" t="str">
        <f t="shared" si="15"/>
        <v/>
      </c>
      <c r="U67" s="12" t="str">
        <f t="shared" si="15"/>
        <v/>
      </c>
      <c r="V67" s="12" t="str">
        <f t="shared" si="15"/>
        <v>x</v>
      </c>
      <c r="W67" s="12" t="str">
        <f t="shared" si="15"/>
        <v/>
      </c>
      <c r="X67" s="18" t="str">
        <f t="shared" si="15"/>
        <v/>
      </c>
      <c r="Y67" s="12" t="str">
        <f t="shared" si="15"/>
        <v/>
      </c>
      <c r="Z67" s="12" t="str">
        <f t="shared" si="15"/>
        <v/>
      </c>
      <c r="AA67" s="12" t="str">
        <f t="shared" si="15"/>
        <v/>
      </c>
      <c r="AB67" s="12" t="str">
        <f t="shared" si="15"/>
        <v/>
      </c>
      <c r="AC67" s="12" t="str">
        <f t="shared" si="15"/>
        <v/>
      </c>
      <c r="AD67" s="12" t="str">
        <f t="shared" si="15"/>
        <v/>
      </c>
      <c r="AE67" s="18" t="str">
        <f t="shared" si="15"/>
        <v/>
      </c>
    </row>
    <row r="68" spans="1:31" x14ac:dyDescent="0.35">
      <c r="B68" s="74" t="s">
        <v>345</v>
      </c>
      <c r="C68" s="2" t="s">
        <v>346</v>
      </c>
      <c r="D68" s="2" t="s">
        <v>202</v>
      </c>
      <c r="F68" s="2"/>
      <c r="G68" s="2" t="s">
        <v>203</v>
      </c>
      <c r="H68" s="16" t="s">
        <v>189</v>
      </c>
      <c r="I68" s="16" t="s">
        <v>335</v>
      </c>
      <c r="J68" s="16">
        <v>6</v>
      </c>
      <c r="K68" s="17">
        <v>46066</v>
      </c>
      <c r="L68" s="102"/>
      <c r="M68" s="4"/>
      <c r="N68" s="211"/>
      <c r="O68" s="1"/>
      <c r="Q68" s="18" t="str">
        <f t="shared" si="15"/>
        <v/>
      </c>
      <c r="R68" s="12" t="str">
        <f t="shared" si="15"/>
        <v/>
      </c>
      <c r="S68" s="12" t="str">
        <f t="shared" si="15"/>
        <v/>
      </c>
      <c r="T68" s="12" t="str">
        <f t="shared" si="15"/>
        <v/>
      </c>
      <c r="U68" s="12" t="str">
        <f t="shared" si="15"/>
        <v/>
      </c>
      <c r="V68" s="12" t="str">
        <f t="shared" si="15"/>
        <v>x</v>
      </c>
      <c r="W68" s="12" t="str">
        <f t="shared" si="15"/>
        <v/>
      </c>
      <c r="X68" s="18" t="str">
        <f t="shared" si="15"/>
        <v/>
      </c>
      <c r="Y68" s="12" t="str">
        <f t="shared" si="15"/>
        <v/>
      </c>
      <c r="Z68" s="12" t="str">
        <f t="shared" si="15"/>
        <v/>
      </c>
      <c r="AA68" s="12" t="str">
        <f t="shared" si="15"/>
        <v/>
      </c>
      <c r="AB68" s="12" t="str">
        <f t="shared" si="15"/>
        <v/>
      </c>
      <c r="AC68" s="12" t="str">
        <f t="shared" si="15"/>
        <v/>
      </c>
      <c r="AD68" s="12" t="str">
        <f t="shared" si="15"/>
        <v/>
      </c>
      <c r="AE68" s="18" t="str">
        <f t="shared" si="15"/>
        <v/>
      </c>
    </row>
    <row r="69" spans="1:31" x14ac:dyDescent="0.35">
      <c r="B69" s="74" t="s">
        <v>347</v>
      </c>
      <c r="C69" s="2" t="s">
        <v>348</v>
      </c>
      <c r="D69" s="2" t="s">
        <v>202</v>
      </c>
      <c r="F69" s="2"/>
      <c r="G69" s="2" t="s">
        <v>203</v>
      </c>
      <c r="H69" s="16" t="s">
        <v>189</v>
      </c>
      <c r="I69" s="16" t="s">
        <v>335</v>
      </c>
      <c r="J69" s="16">
        <v>6</v>
      </c>
      <c r="K69" s="17">
        <v>46066</v>
      </c>
      <c r="L69" s="102"/>
      <c r="M69" s="4"/>
      <c r="N69" s="211"/>
      <c r="O69" s="1"/>
      <c r="Q69" s="18" t="str">
        <f t="shared" si="15"/>
        <v/>
      </c>
      <c r="R69" s="12" t="str">
        <f t="shared" si="15"/>
        <v/>
      </c>
      <c r="S69" s="12" t="str">
        <f t="shared" si="15"/>
        <v/>
      </c>
      <c r="T69" s="12" t="str">
        <f t="shared" si="15"/>
        <v/>
      </c>
      <c r="U69" s="12" t="str">
        <f t="shared" si="15"/>
        <v/>
      </c>
      <c r="V69" s="12" t="str">
        <f t="shared" si="15"/>
        <v>x</v>
      </c>
      <c r="W69" s="12" t="str">
        <f t="shared" si="15"/>
        <v/>
      </c>
      <c r="X69" s="18" t="str">
        <f t="shared" si="15"/>
        <v/>
      </c>
      <c r="Y69" s="12" t="str">
        <f t="shared" si="15"/>
        <v/>
      </c>
      <c r="Z69" s="12" t="str">
        <f t="shared" si="15"/>
        <v/>
      </c>
      <c r="AA69" s="12" t="str">
        <f t="shared" si="15"/>
        <v/>
      </c>
      <c r="AB69" s="12" t="str">
        <f t="shared" si="15"/>
        <v/>
      </c>
      <c r="AC69" s="12" t="str">
        <f t="shared" si="15"/>
        <v/>
      </c>
      <c r="AD69" s="12" t="str">
        <f t="shared" si="15"/>
        <v/>
      </c>
      <c r="AE69" s="18" t="str">
        <f t="shared" si="15"/>
        <v/>
      </c>
    </row>
    <row r="70" spans="1:31" x14ac:dyDescent="0.35">
      <c r="B70" s="74" t="s">
        <v>349</v>
      </c>
      <c r="C70" s="2" t="s">
        <v>350</v>
      </c>
      <c r="D70" s="2" t="s">
        <v>202</v>
      </c>
      <c r="F70" s="2"/>
      <c r="G70" s="2"/>
      <c r="H70" s="16" t="s">
        <v>218</v>
      </c>
      <c r="I70" s="16" t="s">
        <v>335</v>
      </c>
      <c r="J70" s="16">
        <v>6</v>
      </c>
      <c r="K70" s="17">
        <v>46066</v>
      </c>
      <c r="L70" s="102"/>
      <c r="M70" s="4"/>
      <c r="N70" s="211"/>
      <c r="O70" s="1"/>
      <c r="Q70" s="18" t="str">
        <f t="shared" si="15"/>
        <v/>
      </c>
      <c r="R70" s="12" t="str">
        <f t="shared" si="15"/>
        <v/>
      </c>
      <c r="S70" s="12" t="str">
        <f t="shared" si="15"/>
        <v/>
      </c>
      <c r="T70" s="12" t="str">
        <f t="shared" si="15"/>
        <v/>
      </c>
      <c r="U70" s="12" t="str">
        <f t="shared" si="15"/>
        <v/>
      </c>
      <c r="V70" s="12" t="str">
        <f t="shared" si="15"/>
        <v>x</v>
      </c>
      <c r="W70" s="12" t="str">
        <f t="shared" si="15"/>
        <v/>
      </c>
      <c r="X70" s="18" t="str">
        <f t="shared" si="15"/>
        <v/>
      </c>
      <c r="Y70" s="12" t="str">
        <f t="shared" si="15"/>
        <v/>
      </c>
      <c r="Z70" s="12" t="str">
        <f t="shared" si="15"/>
        <v/>
      </c>
      <c r="AA70" s="12" t="str">
        <f t="shared" si="15"/>
        <v/>
      </c>
      <c r="AB70" s="12" t="str">
        <f t="shared" si="15"/>
        <v/>
      </c>
      <c r="AC70" s="12" t="str">
        <f t="shared" si="15"/>
        <v/>
      </c>
      <c r="AD70" s="12" t="str">
        <f t="shared" si="15"/>
        <v/>
      </c>
      <c r="AE70" s="18" t="str">
        <f t="shared" si="15"/>
        <v/>
      </c>
    </row>
    <row r="71" spans="1:31" x14ac:dyDescent="0.35">
      <c r="B71" s="219" t="s">
        <v>351</v>
      </c>
      <c r="C71" s="173" t="s">
        <v>261</v>
      </c>
      <c r="D71" s="173" t="s">
        <v>186</v>
      </c>
      <c r="E71" s="173" t="s">
        <v>262</v>
      </c>
      <c r="F71" s="173"/>
      <c r="G71" s="173" t="s">
        <v>188</v>
      </c>
      <c r="H71" s="174" t="s">
        <v>189</v>
      </c>
      <c r="I71" s="174" t="s">
        <v>335</v>
      </c>
      <c r="J71" s="174">
        <v>6</v>
      </c>
      <c r="K71" s="174"/>
      <c r="L71" s="175"/>
      <c r="M71" s="174">
        <f>N71/6</f>
        <v>1</v>
      </c>
      <c r="N71" s="214">
        <v>6</v>
      </c>
      <c r="O71" s="1"/>
      <c r="Q71" s="18" t="str">
        <f t="shared" ref="Q71:AE78" si="17">IF($J71=Q$2,"x","")</f>
        <v/>
      </c>
      <c r="R71" s="177"/>
      <c r="S71" s="177"/>
      <c r="T71" s="177"/>
      <c r="U71" s="177"/>
      <c r="V71" s="176" t="s">
        <v>183</v>
      </c>
      <c r="W71" s="176"/>
      <c r="X71" s="18" t="str">
        <f t="shared" si="17"/>
        <v/>
      </c>
      <c r="Y71" s="176"/>
      <c r="Z71" s="176"/>
      <c r="AA71" s="178"/>
      <c r="AB71" s="178"/>
      <c r="AC71" s="178"/>
      <c r="AD71" s="178"/>
      <c r="AE71" s="15"/>
    </row>
    <row r="72" spans="1:31" x14ac:dyDescent="0.35">
      <c r="B72" s="74" t="s">
        <v>352</v>
      </c>
      <c r="C72" s="2" t="s">
        <v>353</v>
      </c>
      <c r="D72" s="2" t="s">
        <v>270</v>
      </c>
      <c r="F72" s="2"/>
      <c r="G72" s="2" t="s">
        <v>203</v>
      </c>
      <c r="H72" s="16" t="s">
        <v>189</v>
      </c>
      <c r="I72" s="16" t="s">
        <v>335</v>
      </c>
      <c r="J72" s="16">
        <v>6</v>
      </c>
      <c r="K72" s="17">
        <v>46066</v>
      </c>
      <c r="L72" s="102"/>
      <c r="M72" s="4"/>
      <c r="N72" s="211"/>
      <c r="O72" s="1"/>
      <c r="Q72" s="18" t="str">
        <f t="shared" si="17"/>
        <v/>
      </c>
      <c r="R72" s="12" t="str">
        <f t="shared" si="17"/>
        <v/>
      </c>
      <c r="S72" s="12" t="str">
        <f t="shared" si="17"/>
        <v/>
      </c>
      <c r="T72" s="12" t="str">
        <f t="shared" si="17"/>
        <v/>
      </c>
      <c r="U72" s="12" t="str">
        <f t="shared" si="17"/>
        <v/>
      </c>
      <c r="V72" s="12" t="str">
        <f t="shared" si="17"/>
        <v>x</v>
      </c>
      <c r="W72" s="12" t="str">
        <f t="shared" si="17"/>
        <v/>
      </c>
      <c r="X72" s="18" t="str">
        <f t="shared" si="17"/>
        <v/>
      </c>
      <c r="Y72" s="12" t="str">
        <f t="shared" si="17"/>
        <v/>
      </c>
      <c r="Z72" s="12" t="str">
        <f t="shared" si="17"/>
        <v/>
      </c>
      <c r="AA72" s="12" t="str">
        <f t="shared" si="17"/>
        <v/>
      </c>
      <c r="AB72" s="12" t="str">
        <f t="shared" si="17"/>
        <v/>
      </c>
      <c r="AC72" s="12" t="str">
        <f t="shared" si="17"/>
        <v/>
      </c>
      <c r="AD72" s="12" t="str">
        <f t="shared" si="17"/>
        <v/>
      </c>
      <c r="AE72" s="18" t="str">
        <f t="shared" si="17"/>
        <v/>
      </c>
    </row>
    <row r="73" spans="1:31" x14ac:dyDescent="0.35">
      <c r="B73" s="74" t="s">
        <v>354</v>
      </c>
      <c r="C73" s="2" t="s">
        <v>355</v>
      </c>
      <c r="D73" s="2" t="s">
        <v>270</v>
      </c>
      <c r="F73" s="2"/>
      <c r="G73" s="2" t="s">
        <v>203</v>
      </c>
      <c r="H73" s="16" t="s">
        <v>189</v>
      </c>
      <c r="I73" s="16" t="s">
        <v>335</v>
      </c>
      <c r="J73" s="16">
        <v>6</v>
      </c>
      <c r="K73" s="17">
        <v>46066</v>
      </c>
      <c r="L73" s="102"/>
      <c r="M73" s="4"/>
      <c r="N73" s="211"/>
      <c r="O73" s="1"/>
      <c r="Q73" s="18" t="str">
        <f t="shared" si="17"/>
        <v/>
      </c>
      <c r="R73" s="12" t="str">
        <f t="shared" si="17"/>
        <v/>
      </c>
      <c r="S73" s="12" t="str">
        <f t="shared" si="17"/>
        <v/>
      </c>
      <c r="T73" s="12" t="str">
        <f t="shared" si="17"/>
        <v/>
      </c>
      <c r="U73" s="12" t="str">
        <f t="shared" si="17"/>
        <v/>
      </c>
      <c r="V73" s="12" t="str">
        <f t="shared" si="17"/>
        <v>x</v>
      </c>
      <c r="W73" s="12" t="str">
        <f t="shared" si="17"/>
        <v/>
      </c>
      <c r="X73" s="18" t="str">
        <f t="shared" si="17"/>
        <v/>
      </c>
      <c r="Y73" s="12" t="str">
        <f t="shared" si="17"/>
        <v/>
      </c>
      <c r="Z73" s="12" t="str">
        <f t="shared" si="17"/>
        <v/>
      </c>
      <c r="AA73" s="12" t="str">
        <f t="shared" si="17"/>
        <v/>
      </c>
      <c r="AB73" s="12" t="str">
        <f t="shared" si="17"/>
        <v/>
      </c>
      <c r="AC73" s="12" t="str">
        <f t="shared" si="17"/>
        <v/>
      </c>
      <c r="AD73" s="12" t="str">
        <f t="shared" si="17"/>
        <v/>
      </c>
      <c r="AE73" s="18" t="str">
        <f t="shared" si="17"/>
        <v/>
      </c>
    </row>
    <row r="74" spans="1:31" x14ac:dyDescent="0.35">
      <c r="B74" s="74" t="s">
        <v>356</v>
      </c>
      <c r="C74" s="2" t="s">
        <v>357</v>
      </c>
      <c r="D74" s="2" t="s">
        <v>270</v>
      </c>
      <c r="F74" s="2"/>
      <c r="G74" s="2" t="s">
        <v>203</v>
      </c>
      <c r="H74" s="16" t="s">
        <v>189</v>
      </c>
      <c r="I74" s="16" t="s">
        <v>335</v>
      </c>
      <c r="J74" s="16">
        <v>6</v>
      </c>
      <c r="K74" s="17">
        <v>46066</v>
      </c>
      <c r="L74" s="102"/>
      <c r="M74" s="4"/>
      <c r="N74" s="211"/>
      <c r="O74" s="1"/>
      <c r="Q74" s="18" t="str">
        <f t="shared" si="17"/>
        <v/>
      </c>
      <c r="R74" s="12" t="str">
        <f t="shared" si="17"/>
        <v/>
      </c>
      <c r="S74" s="12" t="str">
        <f t="shared" si="17"/>
        <v/>
      </c>
      <c r="T74" s="12" t="str">
        <f t="shared" si="17"/>
        <v/>
      </c>
      <c r="U74" s="12" t="str">
        <f t="shared" si="17"/>
        <v/>
      </c>
      <c r="V74" s="12" t="str">
        <f t="shared" si="17"/>
        <v>x</v>
      </c>
      <c r="W74" s="12" t="str">
        <f t="shared" si="17"/>
        <v/>
      </c>
      <c r="X74" s="18" t="str">
        <f t="shared" si="17"/>
        <v/>
      </c>
      <c r="Y74" s="12" t="str">
        <f t="shared" si="17"/>
        <v/>
      </c>
      <c r="Z74" s="12" t="str">
        <f t="shared" si="17"/>
        <v/>
      </c>
      <c r="AA74" s="12" t="str">
        <f t="shared" si="17"/>
        <v/>
      </c>
      <c r="AB74" s="12" t="str">
        <f t="shared" si="17"/>
        <v/>
      </c>
      <c r="AC74" s="12" t="str">
        <f t="shared" si="17"/>
        <v/>
      </c>
      <c r="AD74" s="12" t="str">
        <f t="shared" si="17"/>
        <v/>
      </c>
      <c r="AE74" s="18" t="str">
        <f t="shared" si="17"/>
        <v/>
      </c>
    </row>
    <row r="75" spans="1:31" x14ac:dyDescent="0.35">
      <c r="B75" s="74" t="s">
        <v>358</v>
      </c>
      <c r="C75" s="2" t="s">
        <v>359</v>
      </c>
      <c r="D75" s="2" t="s">
        <v>265</v>
      </c>
      <c r="F75" s="2"/>
      <c r="G75" s="2" t="s">
        <v>203</v>
      </c>
      <c r="H75" s="16" t="s">
        <v>189</v>
      </c>
      <c r="I75" s="16" t="s">
        <v>335</v>
      </c>
      <c r="J75" s="16">
        <v>6</v>
      </c>
      <c r="K75" s="17">
        <v>46066</v>
      </c>
      <c r="L75" s="102"/>
      <c r="M75" s="4"/>
      <c r="N75" s="211"/>
      <c r="O75" s="1"/>
      <c r="Q75" s="18" t="str">
        <f t="shared" si="17"/>
        <v/>
      </c>
      <c r="R75" s="12" t="str">
        <f t="shared" si="17"/>
        <v/>
      </c>
      <c r="S75" s="12" t="str">
        <f t="shared" si="17"/>
        <v/>
      </c>
      <c r="T75" s="12" t="str">
        <f t="shared" si="17"/>
        <v/>
      </c>
      <c r="U75" s="12" t="str">
        <f t="shared" si="17"/>
        <v/>
      </c>
      <c r="V75" s="12" t="str">
        <f t="shared" si="17"/>
        <v>x</v>
      </c>
      <c r="W75" s="12" t="str">
        <f t="shared" si="17"/>
        <v/>
      </c>
      <c r="X75" s="18" t="str">
        <f t="shared" si="17"/>
        <v/>
      </c>
      <c r="Y75" s="12" t="str">
        <f t="shared" si="17"/>
        <v/>
      </c>
      <c r="Z75" s="12" t="str">
        <f t="shared" si="17"/>
        <v/>
      </c>
      <c r="AA75" s="12" t="str">
        <f t="shared" si="17"/>
        <v/>
      </c>
      <c r="AB75" s="12" t="str">
        <f t="shared" si="17"/>
        <v/>
      </c>
      <c r="AC75" s="12" t="str">
        <f t="shared" si="17"/>
        <v/>
      </c>
      <c r="AD75" s="12" t="str">
        <f t="shared" si="17"/>
        <v/>
      </c>
      <c r="AE75" s="18" t="str">
        <f t="shared" si="17"/>
        <v/>
      </c>
    </row>
    <row r="76" spans="1:31" x14ac:dyDescent="0.35">
      <c r="B76" s="74" t="s">
        <v>360</v>
      </c>
      <c r="C76" s="2" t="s">
        <v>361</v>
      </c>
      <c r="D76" s="2" t="s">
        <v>265</v>
      </c>
      <c r="F76" s="2"/>
      <c r="G76" s="2" t="s">
        <v>203</v>
      </c>
      <c r="H76" s="16" t="s">
        <v>189</v>
      </c>
      <c r="I76" s="16" t="s">
        <v>335</v>
      </c>
      <c r="J76" s="16">
        <v>6</v>
      </c>
      <c r="K76" s="17">
        <v>46066</v>
      </c>
      <c r="L76" s="102"/>
      <c r="M76" s="4"/>
      <c r="N76" s="211"/>
      <c r="O76" s="1"/>
      <c r="Q76" s="18" t="str">
        <f t="shared" si="17"/>
        <v/>
      </c>
      <c r="R76" s="12" t="str">
        <f t="shared" si="17"/>
        <v/>
      </c>
      <c r="S76" s="12" t="str">
        <f t="shared" si="17"/>
        <v/>
      </c>
      <c r="T76" s="12" t="str">
        <f t="shared" si="17"/>
        <v/>
      </c>
      <c r="U76" s="12" t="str">
        <f t="shared" si="17"/>
        <v/>
      </c>
      <c r="V76" s="12" t="str">
        <f t="shared" si="17"/>
        <v>x</v>
      </c>
      <c r="W76" s="12" t="str">
        <f t="shared" si="17"/>
        <v/>
      </c>
      <c r="X76" s="18" t="str">
        <f t="shared" si="17"/>
        <v/>
      </c>
      <c r="Y76" s="12" t="str">
        <f t="shared" si="17"/>
        <v/>
      </c>
      <c r="Z76" s="12" t="str">
        <f t="shared" si="17"/>
        <v/>
      </c>
      <c r="AA76" s="12" t="str">
        <f t="shared" si="17"/>
        <v/>
      </c>
      <c r="AB76" s="12" t="str">
        <f t="shared" si="17"/>
        <v/>
      </c>
      <c r="AC76" s="12" t="str">
        <f t="shared" si="17"/>
        <v/>
      </c>
      <c r="AD76" s="12" t="str">
        <f t="shared" si="17"/>
        <v/>
      </c>
      <c r="AE76" s="18" t="str">
        <f t="shared" si="17"/>
        <v/>
      </c>
    </row>
    <row r="77" spans="1:31" x14ac:dyDescent="0.35">
      <c r="B77" s="74" t="s">
        <v>362</v>
      </c>
      <c r="C77" s="2" t="s">
        <v>363</v>
      </c>
      <c r="D77" s="2" t="s">
        <v>265</v>
      </c>
      <c r="F77" s="2"/>
      <c r="G77" s="2" t="s">
        <v>203</v>
      </c>
      <c r="H77" s="16" t="s">
        <v>189</v>
      </c>
      <c r="I77" s="16" t="s">
        <v>335</v>
      </c>
      <c r="J77" s="16">
        <v>6</v>
      </c>
      <c r="K77" s="17">
        <v>46066</v>
      </c>
      <c r="L77" s="102"/>
      <c r="M77" s="4"/>
      <c r="N77" s="211"/>
      <c r="O77" s="1"/>
      <c r="Q77" s="18" t="str">
        <f t="shared" si="17"/>
        <v/>
      </c>
      <c r="R77" s="12" t="str">
        <f t="shared" si="17"/>
        <v/>
      </c>
      <c r="S77" s="12" t="str">
        <f t="shared" si="17"/>
        <v/>
      </c>
      <c r="T77" s="12" t="str">
        <f t="shared" si="17"/>
        <v/>
      </c>
      <c r="U77" s="12" t="str">
        <f t="shared" si="17"/>
        <v/>
      </c>
      <c r="V77" s="12" t="str">
        <f t="shared" si="17"/>
        <v>x</v>
      </c>
      <c r="W77" s="12" t="str">
        <f t="shared" si="17"/>
        <v/>
      </c>
      <c r="X77" s="18" t="str">
        <f t="shared" si="17"/>
        <v/>
      </c>
      <c r="Y77" s="12" t="str">
        <f t="shared" si="17"/>
        <v/>
      </c>
      <c r="Z77" s="12" t="str">
        <f t="shared" si="17"/>
        <v/>
      </c>
      <c r="AA77" s="12" t="str">
        <f t="shared" si="17"/>
        <v/>
      </c>
      <c r="AB77" s="12" t="str">
        <f t="shared" si="17"/>
        <v/>
      </c>
      <c r="AC77" s="12" t="str">
        <f t="shared" si="17"/>
        <v/>
      </c>
      <c r="AD77" s="12" t="str">
        <f t="shared" si="17"/>
        <v/>
      </c>
      <c r="AE77" s="18" t="str">
        <f t="shared" si="17"/>
        <v/>
      </c>
    </row>
    <row r="78" spans="1:31" x14ac:dyDescent="0.35">
      <c r="B78" s="217" t="s">
        <v>181</v>
      </c>
      <c r="C78" s="157" t="s">
        <v>364</v>
      </c>
      <c r="D78" s="158"/>
      <c r="E78" s="158"/>
      <c r="F78" s="158"/>
      <c r="G78" s="158"/>
      <c r="H78" s="158"/>
      <c r="I78" s="158"/>
      <c r="J78" s="159">
        <v>7</v>
      </c>
      <c r="K78" s="160"/>
      <c r="L78" s="161"/>
      <c r="M78" s="158"/>
      <c r="N78" s="209"/>
      <c r="O78" s="1"/>
      <c r="Q78" s="18" t="str">
        <f t="shared" si="17"/>
        <v/>
      </c>
      <c r="R78" s="177"/>
      <c r="S78" s="177"/>
      <c r="T78" s="177"/>
      <c r="U78" s="177"/>
      <c r="V78" s="176"/>
      <c r="W78" s="176" t="s">
        <v>183</v>
      </c>
      <c r="X78" s="18" t="str">
        <f t="shared" si="17"/>
        <v/>
      </c>
      <c r="Y78" s="176"/>
      <c r="Z78" s="176"/>
      <c r="AA78" s="178"/>
      <c r="AB78" s="178"/>
      <c r="AC78" s="178"/>
      <c r="AD78" s="178"/>
      <c r="AE78" s="15"/>
    </row>
    <row r="79" spans="1:31" x14ac:dyDescent="0.35">
      <c r="A79" s="2"/>
      <c r="B79" s="219" t="s">
        <v>365</v>
      </c>
      <c r="C79" s="173" t="s">
        <v>283</v>
      </c>
      <c r="D79" s="173" t="s">
        <v>186</v>
      </c>
      <c r="E79" s="173" t="s">
        <v>187</v>
      </c>
      <c r="F79" s="173"/>
      <c r="G79" s="173" t="s">
        <v>188</v>
      </c>
      <c r="H79" s="174" t="s">
        <v>189</v>
      </c>
      <c r="I79" s="174" t="s">
        <v>335</v>
      </c>
      <c r="J79" s="174">
        <v>7</v>
      </c>
      <c r="K79" s="174"/>
      <c r="L79" s="174"/>
      <c r="M79" s="174">
        <f>N79/6</f>
        <v>3</v>
      </c>
      <c r="N79" s="214">
        <v>18</v>
      </c>
      <c r="O79" s="1"/>
      <c r="Q79" s="18" t="str">
        <f t="shared" ref="Q79:AE83" si="18">IF($J79=Q$2,"x","")</f>
        <v/>
      </c>
      <c r="R79" s="177"/>
      <c r="S79" s="177"/>
      <c r="T79" s="177"/>
      <c r="U79" s="177"/>
      <c r="V79" s="176"/>
      <c r="W79" s="176" t="s">
        <v>183</v>
      </c>
      <c r="X79" s="18" t="str">
        <f t="shared" si="18"/>
        <v/>
      </c>
      <c r="Y79" s="176"/>
      <c r="Z79" s="176"/>
      <c r="AA79" s="178"/>
      <c r="AB79" s="178"/>
      <c r="AC79" s="178"/>
      <c r="AD79" s="178"/>
      <c r="AE79" s="15"/>
    </row>
    <row r="80" spans="1:31" x14ac:dyDescent="0.35">
      <c r="A80" s="2"/>
      <c r="B80" s="219" t="s">
        <v>366</v>
      </c>
      <c r="C80" s="173" t="s">
        <v>261</v>
      </c>
      <c r="D80" s="173" t="s">
        <v>186</v>
      </c>
      <c r="E80" s="173" t="s">
        <v>294</v>
      </c>
      <c r="F80" s="173"/>
      <c r="G80" s="173" t="s">
        <v>188</v>
      </c>
      <c r="H80" s="174" t="s">
        <v>189</v>
      </c>
      <c r="I80" s="174" t="s">
        <v>335</v>
      </c>
      <c r="J80" s="174">
        <v>7</v>
      </c>
      <c r="K80" s="174"/>
      <c r="L80" s="175"/>
      <c r="M80" s="174">
        <f>N80/6</f>
        <v>1</v>
      </c>
      <c r="N80" s="214">
        <v>6</v>
      </c>
      <c r="O80" s="1"/>
      <c r="Q80" s="18" t="str">
        <f t="shared" si="18"/>
        <v/>
      </c>
      <c r="R80" s="177"/>
      <c r="S80" s="177"/>
      <c r="T80" s="177"/>
      <c r="U80" s="177"/>
      <c r="V80" s="176"/>
      <c r="W80" s="176" t="s">
        <v>183</v>
      </c>
      <c r="X80" s="18" t="str">
        <f t="shared" si="18"/>
        <v/>
      </c>
      <c r="Y80" s="176"/>
      <c r="Z80" s="176"/>
      <c r="AA80" s="178"/>
      <c r="AB80" s="178"/>
      <c r="AC80" s="178"/>
      <c r="AD80" s="178"/>
      <c r="AE80" s="15"/>
    </row>
    <row r="81" spans="1:31" x14ac:dyDescent="0.35">
      <c r="A81" s="2"/>
      <c r="B81" s="74" t="s">
        <v>367</v>
      </c>
      <c r="C81" s="2" t="s">
        <v>368</v>
      </c>
      <c r="D81" s="2" t="s">
        <v>193</v>
      </c>
      <c r="F81" s="2"/>
      <c r="G81" s="2" t="s">
        <v>203</v>
      </c>
      <c r="H81" s="16" t="s">
        <v>189</v>
      </c>
      <c r="I81" s="16" t="s">
        <v>335</v>
      </c>
      <c r="J81" s="16">
        <v>7</v>
      </c>
      <c r="K81" s="17">
        <v>46073</v>
      </c>
      <c r="L81" s="102"/>
      <c r="N81" s="211"/>
      <c r="O81" s="1"/>
      <c r="Q81" s="18" t="str">
        <f t="shared" si="18"/>
        <v/>
      </c>
      <c r="R81" s="12" t="str">
        <f t="shared" si="18"/>
        <v/>
      </c>
      <c r="S81" s="12" t="str">
        <f t="shared" si="18"/>
        <v/>
      </c>
      <c r="T81" s="12" t="str">
        <f t="shared" si="18"/>
        <v/>
      </c>
      <c r="U81" s="12" t="str">
        <f t="shared" si="18"/>
        <v/>
      </c>
      <c r="V81" s="12" t="str">
        <f t="shared" si="18"/>
        <v/>
      </c>
      <c r="W81" s="12" t="str">
        <f t="shared" si="18"/>
        <v>x</v>
      </c>
      <c r="X81" s="18" t="str">
        <f t="shared" si="18"/>
        <v/>
      </c>
      <c r="Y81" s="12" t="str">
        <f t="shared" si="18"/>
        <v/>
      </c>
      <c r="Z81" s="12" t="str">
        <f t="shared" si="18"/>
        <v/>
      </c>
      <c r="AA81" s="12" t="str">
        <f t="shared" si="18"/>
        <v/>
      </c>
      <c r="AB81" s="12" t="str">
        <f t="shared" si="18"/>
        <v/>
      </c>
      <c r="AC81" s="12" t="str">
        <f t="shared" si="18"/>
        <v/>
      </c>
      <c r="AD81" s="12" t="str">
        <f t="shared" si="18"/>
        <v/>
      </c>
      <c r="AE81" s="18" t="str">
        <f t="shared" si="18"/>
        <v/>
      </c>
    </row>
    <row r="82" spans="1:31" x14ac:dyDescent="0.35">
      <c r="A82" s="2"/>
      <c r="B82" s="74" t="s">
        <v>369</v>
      </c>
      <c r="C82" s="2" t="s">
        <v>370</v>
      </c>
      <c r="D82" s="2" t="s">
        <v>193</v>
      </c>
      <c r="F82" s="2"/>
      <c r="G82" s="2" t="s">
        <v>203</v>
      </c>
      <c r="H82" s="16" t="s">
        <v>189</v>
      </c>
      <c r="I82" s="16" t="s">
        <v>335</v>
      </c>
      <c r="J82" s="16">
        <v>7</v>
      </c>
      <c r="K82" s="17">
        <v>46073</v>
      </c>
      <c r="L82" s="102"/>
      <c r="N82" s="211"/>
      <c r="O82" s="1"/>
      <c r="Q82" s="18" t="str">
        <f t="shared" si="18"/>
        <v/>
      </c>
      <c r="R82" s="12" t="str">
        <f t="shared" si="18"/>
        <v/>
      </c>
      <c r="S82" s="12" t="str">
        <f t="shared" si="18"/>
        <v/>
      </c>
      <c r="T82" s="12" t="str">
        <f t="shared" si="18"/>
        <v/>
      </c>
      <c r="U82" s="12" t="str">
        <f t="shared" si="18"/>
        <v/>
      </c>
      <c r="V82" s="12" t="str">
        <f t="shared" si="18"/>
        <v/>
      </c>
      <c r="W82" s="12" t="str">
        <f t="shared" si="18"/>
        <v>x</v>
      </c>
      <c r="X82" s="18" t="str">
        <f t="shared" si="18"/>
        <v/>
      </c>
      <c r="Y82" s="12" t="str">
        <f t="shared" si="18"/>
        <v/>
      </c>
      <c r="Z82" s="12" t="str">
        <f t="shared" si="18"/>
        <v/>
      </c>
      <c r="AA82" s="12" t="str">
        <f t="shared" si="18"/>
        <v/>
      </c>
      <c r="AB82" s="12" t="str">
        <f t="shared" si="18"/>
        <v/>
      </c>
      <c r="AC82" s="12" t="str">
        <f t="shared" si="18"/>
        <v/>
      </c>
      <c r="AD82" s="12" t="str">
        <f t="shared" si="18"/>
        <v/>
      </c>
      <c r="AE82" s="18" t="str">
        <f t="shared" si="18"/>
        <v/>
      </c>
    </row>
    <row r="83" spans="1:31" x14ac:dyDescent="0.35">
      <c r="B83" s="74" t="s">
        <v>371</v>
      </c>
      <c r="C83" s="2" t="s">
        <v>372</v>
      </c>
      <c r="D83" s="2" t="s">
        <v>193</v>
      </c>
      <c r="F83" s="2"/>
      <c r="G83" s="2" t="s">
        <v>203</v>
      </c>
      <c r="H83" s="16" t="s">
        <v>189</v>
      </c>
      <c r="I83" s="16" t="s">
        <v>335</v>
      </c>
      <c r="J83" s="16">
        <v>7</v>
      </c>
      <c r="K83" s="17">
        <v>46073</v>
      </c>
      <c r="L83" s="102"/>
      <c r="N83" s="211"/>
      <c r="O83" s="1"/>
      <c r="Q83" s="18" t="str">
        <f t="shared" si="18"/>
        <v/>
      </c>
      <c r="R83" s="12" t="str">
        <f t="shared" si="18"/>
        <v/>
      </c>
      <c r="S83" s="12" t="str">
        <f t="shared" si="18"/>
        <v/>
      </c>
      <c r="T83" s="12" t="str">
        <f t="shared" si="18"/>
        <v/>
      </c>
      <c r="U83" s="12" t="str">
        <f t="shared" si="18"/>
        <v/>
      </c>
      <c r="V83" s="12" t="str">
        <f t="shared" si="18"/>
        <v/>
      </c>
      <c r="W83" s="12" t="str">
        <f t="shared" si="18"/>
        <v>x</v>
      </c>
      <c r="X83" s="18" t="str">
        <f t="shared" si="18"/>
        <v/>
      </c>
      <c r="Y83" s="12" t="str">
        <f t="shared" si="18"/>
        <v/>
      </c>
      <c r="Z83" s="12" t="str">
        <f t="shared" si="18"/>
        <v/>
      </c>
      <c r="AA83" s="12" t="str">
        <f t="shared" si="18"/>
        <v/>
      </c>
      <c r="AB83" s="12" t="str">
        <f t="shared" si="18"/>
        <v/>
      </c>
      <c r="AC83" s="12" t="str">
        <f t="shared" si="18"/>
        <v/>
      </c>
      <c r="AD83" s="12" t="str">
        <f t="shared" si="18"/>
        <v/>
      </c>
      <c r="AE83" s="18" t="str">
        <f t="shared" si="18"/>
        <v/>
      </c>
    </row>
    <row r="84" spans="1:31" x14ac:dyDescent="0.35">
      <c r="B84" s="219" t="s">
        <v>373</v>
      </c>
      <c r="C84" s="173" t="s">
        <v>261</v>
      </c>
      <c r="D84" s="173" t="s">
        <v>186</v>
      </c>
      <c r="E84" s="173" t="s">
        <v>262</v>
      </c>
      <c r="F84" s="173"/>
      <c r="G84" s="173" t="s">
        <v>188</v>
      </c>
      <c r="H84" s="174" t="s">
        <v>189</v>
      </c>
      <c r="I84" s="174" t="s">
        <v>335</v>
      </c>
      <c r="J84" s="174">
        <v>7</v>
      </c>
      <c r="K84" s="174"/>
      <c r="L84" s="175"/>
      <c r="M84" s="174">
        <f>N84/6</f>
        <v>1</v>
      </c>
      <c r="N84" s="214">
        <v>6</v>
      </c>
      <c r="O84" s="1"/>
      <c r="Q84" s="18" t="str">
        <f t="shared" ref="Q84:AE88" si="19">IF($J84=Q$2,"x","")</f>
        <v/>
      </c>
      <c r="R84" s="177"/>
      <c r="S84" s="177"/>
      <c r="T84" s="177"/>
      <c r="U84" s="177"/>
      <c r="V84" s="176"/>
      <c r="W84" s="176" t="s">
        <v>183</v>
      </c>
      <c r="X84" s="18" t="str">
        <f t="shared" ref="X84" si="20">IF($J84=X$2,"x","")</f>
        <v/>
      </c>
      <c r="Y84" s="176"/>
      <c r="Z84" s="176"/>
      <c r="AA84" s="178"/>
      <c r="AB84" s="178"/>
      <c r="AC84" s="178"/>
      <c r="AD84" s="178"/>
      <c r="AE84" s="15"/>
    </row>
    <row r="85" spans="1:31" x14ac:dyDescent="0.35">
      <c r="B85" s="74" t="s">
        <v>374</v>
      </c>
      <c r="C85" s="2" t="s">
        <v>375</v>
      </c>
      <c r="D85" s="2" t="s">
        <v>270</v>
      </c>
      <c r="F85" s="2"/>
      <c r="G85" s="2" t="s">
        <v>203</v>
      </c>
      <c r="H85" s="16" t="s">
        <v>189</v>
      </c>
      <c r="I85" s="16" t="s">
        <v>335</v>
      </c>
      <c r="J85" s="16">
        <v>7</v>
      </c>
      <c r="K85" s="17">
        <v>46073</v>
      </c>
      <c r="L85" s="102"/>
      <c r="M85" s="4"/>
      <c r="N85" s="211"/>
      <c r="O85" s="1"/>
      <c r="Q85" s="18" t="str">
        <f t="shared" si="19"/>
        <v/>
      </c>
      <c r="R85" s="12" t="str">
        <f t="shared" si="19"/>
        <v/>
      </c>
      <c r="S85" s="12" t="str">
        <f t="shared" si="19"/>
        <v/>
      </c>
      <c r="T85" s="12" t="str">
        <f t="shared" si="19"/>
        <v/>
      </c>
      <c r="U85" s="12" t="str">
        <f t="shared" si="19"/>
        <v/>
      </c>
      <c r="V85" s="12" t="str">
        <f t="shared" si="19"/>
        <v/>
      </c>
      <c r="W85" s="12" t="str">
        <f t="shared" si="19"/>
        <v>x</v>
      </c>
      <c r="X85" s="18" t="str">
        <f t="shared" si="19"/>
        <v/>
      </c>
      <c r="Y85" s="12" t="str">
        <f t="shared" si="19"/>
        <v/>
      </c>
      <c r="Z85" s="12" t="str">
        <f t="shared" si="19"/>
        <v/>
      </c>
      <c r="AA85" s="12" t="str">
        <f t="shared" si="19"/>
        <v/>
      </c>
      <c r="AB85" s="12" t="str">
        <f t="shared" si="19"/>
        <v/>
      </c>
      <c r="AC85" s="12" t="str">
        <f t="shared" si="19"/>
        <v/>
      </c>
      <c r="AD85" s="12" t="str">
        <f t="shared" si="19"/>
        <v/>
      </c>
      <c r="AE85" s="18" t="str">
        <f t="shared" si="19"/>
        <v/>
      </c>
    </row>
    <row r="86" spans="1:31" x14ac:dyDescent="0.35">
      <c r="B86" s="74" t="s">
        <v>376</v>
      </c>
      <c r="C86" s="2" t="s">
        <v>377</v>
      </c>
      <c r="D86" s="2" t="s">
        <v>270</v>
      </c>
      <c r="F86" s="2"/>
      <c r="G86" s="2" t="s">
        <v>203</v>
      </c>
      <c r="H86" s="16" t="s">
        <v>189</v>
      </c>
      <c r="I86" s="16" t="s">
        <v>335</v>
      </c>
      <c r="J86" s="16">
        <v>7</v>
      </c>
      <c r="K86" s="17">
        <v>46073</v>
      </c>
      <c r="L86" s="102"/>
      <c r="M86" s="4"/>
      <c r="N86" s="211"/>
      <c r="O86" s="1"/>
      <c r="Q86" s="18" t="str">
        <f t="shared" si="19"/>
        <v/>
      </c>
      <c r="R86" s="12" t="str">
        <f t="shared" si="19"/>
        <v/>
      </c>
      <c r="S86" s="12" t="str">
        <f t="shared" si="19"/>
        <v/>
      </c>
      <c r="T86" s="12" t="str">
        <f t="shared" si="19"/>
        <v/>
      </c>
      <c r="U86" s="12" t="str">
        <f t="shared" si="19"/>
        <v/>
      </c>
      <c r="V86" s="12" t="str">
        <f t="shared" si="19"/>
        <v/>
      </c>
      <c r="W86" s="12" t="str">
        <f t="shared" si="19"/>
        <v>x</v>
      </c>
      <c r="X86" s="18" t="str">
        <f t="shared" si="19"/>
        <v/>
      </c>
      <c r="Y86" s="12" t="str">
        <f t="shared" si="19"/>
        <v/>
      </c>
      <c r="Z86" s="12" t="str">
        <f t="shared" si="19"/>
        <v/>
      </c>
      <c r="AA86" s="12" t="str">
        <f t="shared" si="19"/>
        <v/>
      </c>
      <c r="AB86" s="12" t="str">
        <f t="shared" si="19"/>
        <v/>
      </c>
      <c r="AC86" s="12" t="str">
        <f t="shared" si="19"/>
        <v/>
      </c>
      <c r="AD86" s="12" t="str">
        <f t="shared" si="19"/>
        <v/>
      </c>
      <c r="AE86" s="18" t="str">
        <f t="shared" si="19"/>
        <v/>
      </c>
    </row>
    <row r="87" spans="1:31" x14ac:dyDescent="0.35">
      <c r="B87" s="74" t="s">
        <v>378</v>
      </c>
      <c r="C87" s="2" t="s">
        <v>379</v>
      </c>
      <c r="D87" s="2" t="s">
        <v>265</v>
      </c>
      <c r="F87" s="2"/>
      <c r="G87" s="2" t="s">
        <v>203</v>
      </c>
      <c r="H87" s="16" t="s">
        <v>189</v>
      </c>
      <c r="I87" s="16" t="s">
        <v>335</v>
      </c>
      <c r="J87" s="16">
        <v>7</v>
      </c>
      <c r="K87" s="17">
        <v>46073</v>
      </c>
      <c r="L87" s="102"/>
      <c r="M87" s="4"/>
      <c r="N87" s="211"/>
      <c r="O87" s="1"/>
      <c r="Q87" s="18" t="str">
        <f t="shared" si="19"/>
        <v/>
      </c>
      <c r="R87" s="12" t="str">
        <f t="shared" si="19"/>
        <v/>
      </c>
      <c r="S87" s="12" t="str">
        <f t="shared" si="19"/>
        <v/>
      </c>
      <c r="T87" s="12" t="str">
        <f t="shared" si="19"/>
        <v/>
      </c>
      <c r="U87" s="12" t="str">
        <f t="shared" si="19"/>
        <v/>
      </c>
      <c r="V87" s="12" t="str">
        <f t="shared" si="19"/>
        <v/>
      </c>
      <c r="W87" s="12" t="str">
        <f t="shared" si="19"/>
        <v>x</v>
      </c>
      <c r="X87" s="18" t="str">
        <f t="shared" si="19"/>
        <v/>
      </c>
      <c r="Y87" s="12" t="str">
        <f t="shared" si="19"/>
        <v/>
      </c>
      <c r="Z87" s="12" t="str">
        <f t="shared" si="19"/>
        <v/>
      </c>
      <c r="AA87" s="12" t="str">
        <f t="shared" si="19"/>
        <v/>
      </c>
      <c r="AB87" s="12" t="str">
        <f t="shared" si="19"/>
        <v/>
      </c>
      <c r="AC87" s="12" t="str">
        <f t="shared" si="19"/>
        <v/>
      </c>
      <c r="AD87" s="12" t="str">
        <f t="shared" si="19"/>
        <v/>
      </c>
      <c r="AE87" s="18" t="str">
        <f t="shared" si="19"/>
        <v/>
      </c>
    </row>
    <row r="88" spans="1:31" x14ac:dyDescent="0.35">
      <c r="B88" s="74" t="s">
        <v>380</v>
      </c>
      <c r="C88" s="2" t="s">
        <v>363</v>
      </c>
      <c r="D88" s="2" t="s">
        <v>265</v>
      </c>
      <c r="F88" s="2"/>
      <c r="G88" s="2" t="s">
        <v>203</v>
      </c>
      <c r="H88" s="16" t="s">
        <v>189</v>
      </c>
      <c r="I88" s="16" t="s">
        <v>335</v>
      </c>
      <c r="J88" s="16">
        <v>7</v>
      </c>
      <c r="K88" s="17">
        <v>46073</v>
      </c>
      <c r="L88" s="102"/>
      <c r="M88" s="4"/>
      <c r="N88" s="211"/>
      <c r="O88" s="1"/>
      <c r="Q88" s="18" t="str">
        <f t="shared" si="19"/>
        <v/>
      </c>
      <c r="R88" s="12" t="str">
        <f t="shared" si="19"/>
        <v/>
      </c>
      <c r="S88" s="12" t="str">
        <f t="shared" si="19"/>
        <v/>
      </c>
      <c r="T88" s="12" t="str">
        <f t="shared" si="19"/>
        <v/>
      </c>
      <c r="U88" s="12" t="str">
        <f t="shared" si="19"/>
        <v/>
      </c>
      <c r="V88" s="12" t="str">
        <f t="shared" si="19"/>
        <v/>
      </c>
      <c r="W88" s="12" t="str">
        <f t="shared" si="19"/>
        <v>x</v>
      </c>
      <c r="X88" s="18" t="str">
        <f t="shared" si="19"/>
        <v/>
      </c>
      <c r="Y88" s="12" t="str">
        <f t="shared" si="19"/>
        <v/>
      </c>
      <c r="Z88" s="12" t="str">
        <f t="shared" si="19"/>
        <v/>
      </c>
      <c r="AA88" s="12" t="str">
        <f t="shared" si="19"/>
        <v/>
      </c>
      <c r="AB88" s="12" t="str">
        <f t="shared" si="19"/>
        <v/>
      </c>
      <c r="AC88" s="12" t="str">
        <f t="shared" si="19"/>
        <v/>
      </c>
      <c r="AD88" s="12" t="str">
        <f t="shared" si="19"/>
        <v/>
      </c>
      <c r="AE88" s="18" t="str">
        <f t="shared" si="19"/>
        <v/>
      </c>
    </row>
    <row r="89" spans="1:31" x14ac:dyDescent="0.35">
      <c r="B89" s="219" t="s">
        <v>381</v>
      </c>
      <c r="C89" s="173" t="s">
        <v>382</v>
      </c>
      <c r="D89" s="173" t="s">
        <v>186</v>
      </c>
      <c r="E89" s="173" t="s">
        <v>304</v>
      </c>
      <c r="F89" s="173" t="s">
        <v>383</v>
      </c>
      <c r="G89" s="173" t="s">
        <v>384</v>
      </c>
      <c r="H89" s="174" t="s">
        <v>218</v>
      </c>
      <c r="I89" s="174" t="s">
        <v>335</v>
      </c>
      <c r="J89" s="174">
        <v>7</v>
      </c>
      <c r="K89" s="174"/>
      <c r="L89" s="175"/>
      <c r="M89" s="174">
        <f>N89/6</f>
        <v>1</v>
      </c>
      <c r="N89" s="214">
        <v>6</v>
      </c>
      <c r="O89" s="1"/>
      <c r="Q89" s="18" t="str">
        <f t="shared" ref="Q89:AE100" si="21">IF($J89=Q$2,"x","")</f>
        <v/>
      </c>
      <c r="R89" s="177"/>
      <c r="S89" s="177"/>
      <c r="T89" s="177"/>
      <c r="U89" s="177"/>
      <c r="V89" s="176"/>
      <c r="W89" s="176" t="s">
        <v>183</v>
      </c>
      <c r="X89" s="18" t="str">
        <f t="shared" ref="X89" si="22">IF($J89=X$2,"x","")</f>
        <v/>
      </c>
      <c r="Y89" s="176"/>
      <c r="Z89" s="176"/>
      <c r="AA89" s="178"/>
      <c r="AB89" s="178"/>
      <c r="AC89" s="178"/>
      <c r="AD89" s="178"/>
      <c r="AE89" s="15"/>
    </row>
    <row r="90" spans="1:31" x14ac:dyDescent="0.35">
      <c r="B90" s="74" t="s">
        <v>385</v>
      </c>
      <c r="C90" s="2" t="s">
        <v>386</v>
      </c>
      <c r="D90" s="2" t="s">
        <v>241</v>
      </c>
      <c r="F90" s="2"/>
      <c r="G90" s="2"/>
      <c r="H90" s="16" t="s">
        <v>218</v>
      </c>
      <c r="I90" s="16" t="s">
        <v>335</v>
      </c>
      <c r="J90" s="16">
        <v>7</v>
      </c>
      <c r="K90" s="17">
        <v>46073</v>
      </c>
      <c r="L90" s="102"/>
      <c r="M90" s="4"/>
      <c r="N90" s="211"/>
      <c r="O90" s="1"/>
      <c r="Q90" s="18" t="str">
        <f t="shared" si="21"/>
        <v/>
      </c>
      <c r="R90" s="12" t="str">
        <f t="shared" si="21"/>
        <v/>
      </c>
      <c r="S90" s="12" t="str">
        <f t="shared" si="21"/>
        <v/>
      </c>
      <c r="T90" s="12" t="str">
        <f t="shared" si="21"/>
        <v/>
      </c>
      <c r="U90" s="12" t="str">
        <f t="shared" si="21"/>
        <v/>
      </c>
      <c r="V90" s="12" t="str">
        <f t="shared" si="21"/>
        <v/>
      </c>
      <c r="W90" s="12" t="str">
        <f t="shared" si="21"/>
        <v>x</v>
      </c>
      <c r="X90" s="18" t="str">
        <f t="shared" si="21"/>
        <v/>
      </c>
      <c r="Y90" s="12" t="str">
        <f t="shared" si="21"/>
        <v/>
      </c>
      <c r="Z90" s="12" t="str">
        <f t="shared" si="21"/>
        <v/>
      </c>
      <c r="AA90" s="12" t="str">
        <f t="shared" si="21"/>
        <v/>
      </c>
      <c r="AB90" s="12" t="str">
        <f t="shared" si="21"/>
        <v/>
      </c>
      <c r="AC90" s="12" t="str">
        <f t="shared" si="21"/>
        <v/>
      </c>
      <c r="AD90" s="12" t="str">
        <f t="shared" si="21"/>
        <v/>
      </c>
      <c r="AE90" s="18" t="str">
        <f t="shared" si="21"/>
        <v/>
      </c>
    </row>
    <row r="91" spans="1:31" x14ac:dyDescent="0.35">
      <c r="B91" s="74" t="s">
        <v>387</v>
      </c>
      <c r="C91" s="2" t="s">
        <v>388</v>
      </c>
      <c r="D91" s="2" t="s">
        <v>241</v>
      </c>
      <c r="F91" s="2"/>
      <c r="G91" s="2" t="s">
        <v>389</v>
      </c>
      <c r="H91" s="16" t="s">
        <v>218</v>
      </c>
      <c r="I91" s="16" t="s">
        <v>335</v>
      </c>
      <c r="J91" s="16">
        <v>7</v>
      </c>
      <c r="K91" s="17">
        <v>46073</v>
      </c>
      <c r="L91" s="102"/>
      <c r="M91" s="4"/>
      <c r="N91" s="211"/>
      <c r="O91" s="1"/>
      <c r="Q91" s="18" t="str">
        <f t="shared" si="21"/>
        <v/>
      </c>
      <c r="R91" s="12" t="str">
        <f t="shared" si="21"/>
        <v/>
      </c>
      <c r="S91" s="12" t="str">
        <f t="shared" si="21"/>
        <v/>
      </c>
      <c r="T91" s="12" t="str">
        <f t="shared" si="21"/>
        <v/>
      </c>
      <c r="U91" s="12" t="str">
        <f t="shared" si="21"/>
        <v/>
      </c>
      <c r="V91" s="12" t="str">
        <f t="shared" si="21"/>
        <v/>
      </c>
      <c r="W91" s="12" t="str">
        <f t="shared" si="21"/>
        <v>x</v>
      </c>
      <c r="X91" s="18" t="str">
        <f t="shared" si="21"/>
        <v/>
      </c>
      <c r="Y91" s="12" t="str">
        <f t="shared" si="21"/>
        <v/>
      </c>
      <c r="Z91" s="12" t="str">
        <f t="shared" si="21"/>
        <v/>
      </c>
      <c r="AA91" s="12" t="str">
        <f t="shared" si="21"/>
        <v/>
      </c>
      <c r="AB91" s="12" t="str">
        <f t="shared" si="21"/>
        <v/>
      </c>
      <c r="AC91" s="12" t="str">
        <f t="shared" si="21"/>
        <v/>
      </c>
      <c r="AD91" s="12" t="str">
        <f t="shared" si="21"/>
        <v/>
      </c>
      <c r="AE91" s="18" t="str">
        <f t="shared" si="21"/>
        <v/>
      </c>
    </row>
    <row r="92" spans="1:31" x14ac:dyDescent="0.35">
      <c r="B92" s="74" t="s">
        <v>390</v>
      </c>
      <c r="C92" s="2" t="s">
        <v>391</v>
      </c>
      <c r="D92" s="2" t="s">
        <v>241</v>
      </c>
      <c r="F92" s="2"/>
      <c r="G92" s="2" t="s">
        <v>392</v>
      </c>
      <c r="H92" s="16" t="s">
        <v>218</v>
      </c>
      <c r="I92" s="16" t="s">
        <v>335</v>
      </c>
      <c r="J92" s="16">
        <v>7</v>
      </c>
      <c r="K92" s="17">
        <v>46073</v>
      </c>
      <c r="L92" s="102"/>
      <c r="M92" s="4"/>
      <c r="N92" s="211"/>
      <c r="O92" s="1"/>
      <c r="Q92" s="18" t="str">
        <f t="shared" si="21"/>
        <v/>
      </c>
      <c r="R92" s="12" t="str">
        <f t="shared" si="21"/>
        <v/>
      </c>
      <c r="S92" s="12" t="str">
        <f t="shared" si="21"/>
        <v/>
      </c>
      <c r="T92" s="12" t="str">
        <f t="shared" si="21"/>
        <v/>
      </c>
      <c r="U92" s="12" t="str">
        <f t="shared" si="21"/>
        <v/>
      </c>
      <c r="V92" s="12" t="str">
        <f t="shared" si="21"/>
        <v/>
      </c>
      <c r="W92" s="12" t="str">
        <f t="shared" si="21"/>
        <v>x</v>
      </c>
      <c r="X92" s="18" t="str">
        <f t="shared" si="21"/>
        <v/>
      </c>
      <c r="Y92" s="12" t="str">
        <f t="shared" si="21"/>
        <v/>
      </c>
      <c r="Z92" s="12" t="str">
        <f t="shared" si="21"/>
        <v/>
      </c>
      <c r="AA92" s="12" t="str">
        <f t="shared" si="21"/>
        <v/>
      </c>
      <c r="AB92" s="12" t="str">
        <f t="shared" si="21"/>
        <v/>
      </c>
      <c r="AC92" s="12" t="str">
        <f t="shared" si="21"/>
        <v/>
      </c>
      <c r="AD92" s="12" t="str">
        <f t="shared" si="21"/>
        <v/>
      </c>
      <c r="AE92" s="18" t="str">
        <f t="shared" si="21"/>
        <v/>
      </c>
    </row>
    <row r="93" spans="1:31" x14ac:dyDescent="0.35">
      <c r="B93" s="74" t="s">
        <v>393</v>
      </c>
      <c r="C93" s="2" t="s">
        <v>394</v>
      </c>
      <c r="D93" s="2" t="s">
        <v>241</v>
      </c>
      <c r="F93" s="2"/>
      <c r="G93" s="2" t="s">
        <v>395</v>
      </c>
      <c r="H93" s="16" t="s">
        <v>218</v>
      </c>
      <c r="I93" s="16" t="s">
        <v>335</v>
      </c>
      <c r="J93" s="16">
        <v>7</v>
      </c>
      <c r="K93" s="17">
        <v>46073</v>
      </c>
      <c r="L93" s="102"/>
      <c r="M93" s="4"/>
      <c r="N93" s="211"/>
      <c r="O93" s="1">
        <v>0</v>
      </c>
      <c r="Q93" s="18" t="str">
        <f t="shared" si="21"/>
        <v/>
      </c>
      <c r="R93" s="12" t="str">
        <f t="shared" si="21"/>
        <v/>
      </c>
      <c r="S93" s="12" t="str">
        <f t="shared" si="21"/>
        <v/>
      </c>
      <c r="T93" s="12" t="str">
        <f t="shared" si="21"/>
        <v/>
      </c>
      <c r="U93" s="12" t="str">
        <f t="shared" si="21"/>
        <v/>
      </c>
      <c r="V93" s="12" t="str">
        <f t="shared" si="21"/>
        <v/>
      </c>
      <c r="W93" s="12" t="str">
        <f t="shared" si="21"/>
        <v>x</v>
      </c>
      <c r="X93" s="18" t="str">
        <f t="shared" si="21"/>
        <v/>
      </c>
      <c r="Y93" s="12" t="str">
        <f t="shared" si="21"/>
        <v/>
      </c>
      <c r="Z93" s="12" t="str">
        <f t="shared" si="21"/>
        <v/>
      </c>
      <c r="AA93" s="12" t="str">
        <f t="shared" si="21"/>
        <v/>
      </c>
      <c r="AB93" s="12" t="str">
        <f t="shared" si="21"/>
        <v/>
      </c>
      <c r="AC93" s="12" t="str">
        <f t="shared" si="21"/>
        <v/>
      </c>
      <c r="AD93" s="12" t="str">
        <f t="shared" si="21"/>
        <v/>
      </c>
      <c r="AE93" s="18" t="str">
        <f t="shared" si="21"/>
        <v/>
      </c>
    </row>
    <row r="94" spans="1:31" x14ac:dyDescent="0.35">
      <c r="B94" s="74" t="s">
        <v>396</v>
      </c>
      <c r="C94" s="2" t="s">
        <v>397</v>
      </c>
      <c r="D94" s="2" t="s">
        <v>241</v>
      </c>
      <c r="F94" s="2"/>
      <c r="G94" s="2" t="s">
        <v>398</v>
      </c>
      <c r="H94" s="16" t="s">
        <v>218</v>
      </c>
      <c r="I94" s="16" t="s">
        <v>335</v>
      </c>
      <c r="J94" s="16">
        <v>7</v>
      </c>
      <c r="K94" s="17">
        <v>46066</v>
      </c>
      <c r="L94" s="102"/>
      <c r="M94" s="4"/>
      <c r="N94" s="211"/>
      <c r="O94" s="1">
        <v>0</v>
      </c>
      <c r="Q94" s="18" t="str">
        <f t="shared" si="21"/>
        <v/>
      </c>
      <c r="R94" s="12" t="str">
        <f t="shared" si="21"/>
        <v/>
      </c>
      <c r="S94" s="12" t="str">
        <f t="shared" si="21"/>
        <v/>
      </c>
      <c r="T94" s="12" t="str">
        <f t="shared" si="21"/>
        <v/>
      </c>
      <c r="U94" s="12" t="str">
        <f t="shared" si="21"/>
        <v/>
      </c>
      <c r="V94" s="12" t="str">
        <f t="shared" si="21"/>
        <v/>
      </c>
      <c r="W94" s="12" t="str">
        <f t="shared" si="21"/>
        <v>x</v>
      </c>
      <c r="X94" s="18" t="str">
        <f t="shared" si="21"/>
        <v/>
      </c>
      <c r="Y94" s="12" t="str">
        <f t="shared" si="21"/>
        <v/>
      </c>
      <c r="Z94" s="12" t="str">
        <f t="shared" si="21"/>
        <v/>
      </c>
      <c r="AA94" s="12" t="str">
        <f t="shared" si="21"/>
        <v/>
      </c>
      <c r="AB94" s="12" t="str">
        <f t="shared" si="21"/>
        <v/>
      </c>
      <c r="AC94" s="12" t="str">
        <f t="shared" si="21"/>
        <v/>
      </c>
      <c r="AD94" s="12" t="str">
        <f t="shared" si="21"/>
        <v/>
      </c>
      <c r="AE94" s="18" t="str">
        <f t="shared" si="21"/>
        <v/>
      </c>
    </row>
    <row r="95" spans="1:31" x14ac:dyDescent="0.35">
      <c r="B95" s="74" t="s">
        <v>399</v>
      </c>
      <c r="C95" s="2" t="s">
        <v>323</v>
      </c>
      <c r="D95" s="2" t="s">
        <v>241</v>
      </c>
      <c r="F95" s="2"/>
      <c r="G95" s="2" t="s">
        <v>324</v>
      </c>
      <c r="H95" s="16" t="s">
        <v>218</v>
      </c>
      <c r="I95" s="16" t="s">
        <v>335</v>
      </c>
      <c r="J95" s="16">
        <v>7</v>
      </c>
      <c r="K95" s="17">
        <v>46073</v>
      </c>
      <c r="L95" s="102"/>
      <c r="M95" s="4"/>
      <c r="N95" s="211"/>
      <c r="O95" s="1"/>
      <c r="Q95" s="18" t="str">
        <f t="shared" si="21"/>
        <v/>
      </c>
      <c r="R95" s="12" t="str">
        <f t="shared" si="21"/>
        <v/>
      </c>
      <c r="S95" s="12" t="str">
        <f t="shared" si="21"/>
        <v/>
      </c>
      <c r="T95" s="12" t="str">
        <f t="shared" si="21"/>
        <v/>
      </c>
      <c r="U95" s="12" t="str">
        <f t="shared" si="21"/>
        <v/>
      </c>
      <c r="V95" s="12" t="str">
        <f t="shared" si="21"/>
        <v/>
      </c>
      <c r="W95" s="12" t="str">
        <f t="shared" si="21"/>
        <v>x</v>
      </c>
      <c r="X95" s="18" t="str">
        <f t="shared" si="21"/>
        <v/>
      </c>
      <c r="Y95" s="12" t="str">
        <f t="shared" si="21"/>
        <v/>
      </c>
      <c r="Z95" s="12" t="str">
        <f t="shared" si="21"/>
        <v/>
      </c>
      <c r="AA95" s="12" t="str">
        <f t="shared" si="21"/>
        <v/>
      </c>
      <c r="AB95" s="12" t="str">
        <f t="shared" si="21"/>
        <v/>
      </c>
      <c r="AC95" s="12" t="str">
        <f t="shared" si="21"/>
        <v/>
      </c>
      <c r="AD95" s="12" t="str">
        <f t="shared" si="21"/>
        <v/>
      </c>
      <c r="AE95" s="18" t="str">
        <f t="shared" si="21"/>
        <v/>
      </c>
    </row>
    <row r="96" spans="1:31" x14ac:dyDescent="0.35">
      <c r="B96" s="74" t="s">
        <v>400</v>
      </c>
      <c r="C96" s="2" t="s">
        <v>401</v>
      </c>
      <c r="D96" s="2" t="s">
        <v>241</v>
      </c>
      <c r="F96" s="2"/>
      <c r="G96" s="2" t="s">
        <v>275</v>
      </c>
      <c r="H96" s="16" t="s">
        <v>218</v>
      </c>
      <c r="I96" s="16" t="s">
        <v>335</v>
      </c>
      <c r="J96" s="16">
        <v>7</v>
      </c>
      <c r="K96" s="17">
        <v>46066</v>
      </c>
      <c r="L96" s="102"/>
      <c r="M96" s="4"/>
      <c r="N96" s="211"/>
      <c r="O96" s="1"/>
      <c r="Q96" s="18" t="str">
        <f t="shared" si="21"/>
        <v/>
      </c>
      <c r="R96" s="12" t="str">
        <f t="shared" si="21"/>
        <v/>
      </c>
      <c r="S96" s="12" t="str">
        <f t="shared" si="21"/>
        <v/>
      </c>
      <c r="T96" s="12" t="str">
        <f t="shared" si="21"/>
        <v/>
      </c>
      <c r="U96" s="12" t="str">
        <f t="shared" si="21"/>
        <v/>
      </c>
      <c r="V96" s="12" t="str">
        <f t="shared" si="21"/>
        <v/>
      </c>
      <c r="W96" s="12" t="str">
        <f t="shared" si="21"/>
        <v>x</v>
      </c>
      <c r="X96" s="18" t="str">
        <f t="shared" si="21"/>
        <v/>
      </c>
      <c r="Y96" s="12" t="str">
        <f t="shared" si="21"/>
        <v/>
      </c>
      <c r="Z96" s="12" t="str">
        <f t="shared" si="21"/>
        <v/>
      </c>
      <c r="AA96" s="12" t="str">
        <f t="shared" si="21"/>
        <v/>
      </c>
      <c r="AB96" s="12" t="str">
        <f t="shared" si="21"/>
        <v/>
      </c>
      <c r="AC96" s="12" t="str">
        <f t="shared" si="21"/>
        <v/>
      </c>
      <c r="AD96" s="12" t="str">
        <f t="shared" si="21"/>
        <v/>
      </c>
      <c r="AE96" s="18" t="str">
        <f t="shared" si="21"/>
        <v/>
      </c>
    </row>
    <row r="97" spans="1:31" x14ac:dyDescent="0.35">
      <c r="B97" s="74" t="s">
        <v>402</v>
      </c>
      <c r="C97" s="2" t="s">
        <v>403</v>
      </c>
      <c r="D97" s="2" t="s">
        <v>241</v>
      </c>
      <c r="F97" s="2"/>
      <c r="G97" s="2" t="s">
        <v>404</v>
      </c>
      <c r="H97" s="16" t="s">
        <v>218</v>
      </c>
      <c r="I97" s="16" t="s">
        <v>335</v>
      </c>
      <c r="J97" s="16">
        <v>7</v>
      </c>
      <c r="K97" s="17">
        <v>46066</v>
      </c>
      <c r="L97" s="102"/>
      <c r="M97" s="4"/>
      <c r="N97" s="211"/>
      <c r="O97" s="1"/>
      <c r="Q97" s="18" t="str">
        <f t="shared" si="21"/>
        <v/>
      </c>
      <c r="R97" s="12" t="str">
        <f t="shared" si="21"/>
        <v/>
      </c>
      <c r="S97" s="12" t="str">
        <f t="shared" si="21"/>
        <v/>
      </c>
      <c r="T97" s="12" t="str">
        <f t="shared" si="21"/>
        <v/>
      </c>
      <c r="U97" s="12" t="str">
        <f t="shared" si="21"/>
        <v/>
      </c>
      <c r="V97" s="12" t="str">
        <f t="shared" si="21"/>
        <v/>
      </c>
      <c r="W97" s="12" t="str">
        <f t="shared" si="21"/>
        <v>x</v>
      </c>
      <c r="X97" s="18" t="str">
        <f t="shared" si="21"/>
        <v/>
      </c>
      <c r="Y97" s="12" t="str">
        <f t="shared" si="21"/>
        <v/>
      </c>
      <c r="Z97" s="12" t="str">
        <f t="shared" si="21"/>
        <v/>
      </c>
      <c r="AA97" s="12" t="str">
        <f t="shared" si="21"/>
        <v/>
      </c>
      <c r="AB97" s="12" t="str">
        <f t="shared" si="21"/>
        <v/>
      </c>
      <c r="AC97" s="12" t="str">
        <f t="shared" si="21"/>
        <v/>
      </c>
      <c r="AD97" s="12" t="str">
        <f t="shared" si="21"/>
        <v/>
      </c>
      <c r="AE97" s="18" t="str">
        <f t="shared" si="21"/>
        <v/>
      </c>
    </row>
    <row r="98" spans="1:31" x14ac:dyDescent="0.35">
      <c r="B98" s="74" t="s">
        <v>405</v>
      </c>
      <c r="C98" s="2" t="s">
        <v>406</v>
      </c>
      <c r="D98" s="2" t="s">
        <v>241</v>
      </c>
      <c r="F98" s="2"/>
      <c r="G98" s="2" t="s">
        <v>407</v>
      </c>
      <c r="H98" s="16" t="s">
        <v>218</v>
      </c>
      <c r="I98" s="16" t="s">
        <v>335</v>
      </c>
      <c r="J98" s="16">
        <v>7</v>
      </c>
      <c r="K98" s="17">
        <v>46066</v>
      </c>
      <c r="L98" s="102"/>
      <c r="M98" s="4"/>
      <c r="N98" s="211"/>
      <c r="O98" s="1"/>
      <c r="Q98" s="18" t="str">
        <f t="shared" si="21"/>
        <v/>
      </c>
      <c r="R98" s="12" t="str">
        <f t="shared" si="21"/>
        <v/>
      </c>
      <c r="S98" s="12" t="str">
        <f t="shared" si="21"/>
        <v/>
      </c>
      <c r="T98" s="12" t="str">
        <f t="shared" si="21"/>
        <v/>
      </c>
      <c r="U98" s="12" t="str">
        <f t="shared" si="21"/>
        <v/>
      </c>
      <c r="V98" s="12" t="str">
        <f t="shared" si="21"/>
        <v/>
      </c>
      <c r="W98" s="12" t="str">
        <f t="shared" si="21"/>
        <v>x</v>
      </c>
      <c r="X98" s="18" t="str">
        <f t="shared" si="21"/>
        <v/>
      </c>
      <c r="Y98" s="12" t="str">
        <f t="shared" si="21"/>
        <v/>
      </c>
      <c r="Z98" s="12" t="str">
        <f t="shared" si="21"/>
        <v/>
      </c>
      <c r="AA98" s="12" t="str">
        <f t="shared" si="21"/>
        <v/>
      </c>
      <c r="AB98" s="12" t="str">
        <f t="shared" si="21"/>
        <v/>
      </c>
      <c r="AC98" s="12" t="str">
        <f t="shared" si="21"/>
        <v/>
      </c>
      <c r="AD98" s="12" t="str">
        <f t="shared" si="21"/>
        <v/>
      </c>
      <c r="AE98" s="18" t="str">
        <f t="shared" si="21"/>
        <v/>
      </c>
    </row>
    <row r="99" spans="1:31" x14ac:dyDescent="0.35">
      <c r="B99" s="217" t="s">
        <v>181</v>
      </c>
      <c r="C99" s="157" t="s">
        <v>408</v>
      </c>
      <c r="D99" s="158"/>
      <c r="E99" s="158"/>
      <c r="F99" s="158"/>
      <c r="G99" s="158"/>
      <c r="H99" s="158"/>
      <c r="I99" s="158"/>
      <c r="J99" s="159">
        <v>8</v>
      </c>
      <c r="K99" s="160"/>
      <c r="L99" s="161"/>
      <c r="M99" s="158"/>
      <c r="N99" s="209"/>
      <c r="O99" s="1"/>
      <c r="Q99" s="18" t="str">
        <f t="shared" si="21"/>
        <v/>
      </c>
      <c r="R99" s="177"/>
      <c r="S99" s="177"/>
      <c r="T99" s="177"/>
      <c r="U99" s="177"/>
      <c r="V99" s="176"/>
      <c r="W99" s="176"/>
      <c r="X99" s="18" t="str">
        <f t="shared" si="21"/>
        <v>x</v>
      </c>
      <c r="Y99" s="176"/>
      <c r="Z99" s="176"/>
      <c r="AA99" s="178"/>
      <c r="AB99" s="178"/>
      <c r="AC99" s="178"/>
      <c r="AD99" s="178"/>
      <c r="AE99" s="15"/>
    </row>
    <row r="100" spans="1:31" x14ac:dyDescent="0.35">
      <c r="B100" s="217" t="s">
        <v>181</v>
      </c>
      <c r="C100" s="157" t="s">
        <v>409</v>
      </c>
      <c r="D100" s="158"/>
      <c r="E100" s="158"/>
      <c r="F100" s="158"/>
      <c r="G100" s="158"/>
      <c r="H100" s="158"/>
      <c r="I100" s="158"/>
      <c r="J100" s="159">
        <v>9</v>
      </c>
      <c r="K100" s="160"/>
      <c r="L100" s="161"/>
      <c r="M100" s="158"/>
      <c r="N100" s="209"/>
      <c r="O100" s="1"/>
      <c r="Q100" s="18" t="str">
        <f t="shared" si="21"/>
        <v/>
      </c>
      <c r="R100" s="177"/>
      <c r="S100" s="177"/>
      <c r="T100" s="177"/>
      <c r="U100" s="177"/>
      <c r="V100" s="176"/>
      <c r="W100" s="176"/>
      <c r="X100" s="18" t="str">
        <f t="shared" si="21"/>
        <v/>
      </c>
      <c r="Y100" s="176" t="s">
        <v>183</v>
      </c>
      <c r="Z100" s="176"/>
      <c r="AA100" s="178"/>
      <c r="AB100" s="178"/>
      <c r="AC100" s="178"/>
      <c r="AD100" s="178"/>
      <c r="AE100" s="15"/>
    </row>
    <row r="101" spans="1:31" x14ac:dyDescent="0.35">
      <c r="B101" s="219" t="s">
        <v>410</v>
      </c>
      <c r="C101" s="173" t="s">
        <v>334</v>
      </c>
      <c r="D101" s="173" t="s">
        <v>186</v>
      </c>
      <c r="E101" s="173" t="s">
        <v>187</v>
      </c>
      <c r="F101" s="173"/>
      <c r="G101" s="173" t="s">
        <v>188</v>
      </c>
      <c r="H101" s="174" t="s">
        <v>189</v>
      </c>
      <c r="I101" s="174" t="s">
        <v>335</v>
      </c>
      <c r="J101" s="174">
        <v>9</v>
      </c>
      <c r="K101" s="174"/>
      <c r="L101" s="174"/>
      <c r="M101" s="174">
        <f>N101/6</f>
        <v>3</v>
      </c>
      <c r="N101" s="214">
        <v>18</v>
      </c>
      <c r="O101" s="1"/>
      <c r="Q101" s="18" t="str">
        <f t="shared" ref="Q101:AE103" si="23">IF($J101=Q$2,"x","")</f>
        <v/>
      </c>
      <c r="R101" s="177"/>
      <c r="S101" s="177"/>
      <c r="T101" s="177"/>
      <c r="U101" s="177"/>
      <c r="V101" s="176"/>
      <c r="W101" s="176"/>
      <c r="X101" s="18" t="str">
        <f t="shared" si="23"/>
        <v/>
      </c>
      <c r="Y101" s="176" t="s">
        <v>183</v>
      </c>
      <c r="Z101" s="176"/>
      <c r="AA101" s="178"/>
      <c r="AB101" s="178"/>
      <c r="AC101" s="178"/>
      <c r="AD101" s="178"/>
      <c r="AE101" s="15"/>
    </row>
    <row r="102" spans="1:31" x14ac:dyDescent="0.35">
      <c r="B102" s="74" t="s">
        <v>411</v>
      </c>
      <c r="C102" s="2" t="s">
        <v>412</v>
      </c>
      <c r="D102" s="2" t="s">
        <v>193</v>
      </c>
      <c r="F102" s="2"/>
      <c r="G102" s="2" t="s">
        <v>203</v>
      </c>
      <c r="H102" s="16" t="s">
        <v>189</v>
      </c>
      <c r="I102" s="16" t="s">
        <v>335</v>
      </c>
      <c r="J102" s="16">
        <v>9</v>
      </c>
      <c r="K102" s="17">
        <v>46087</v>
      </c>
      <c r="L102" s="102"/>
      <c r="M102" s="4"/>
      <c r="N102" s="211"/>
      <c r="O102" s="1"/>
      <c r="Q102" s="18" t="str">
        <f t="shared" si="23"/>
        <v/>
      </c>
      <c r="R102" s="12" t="str">
        <f t="shared" si="23"/>
        <v/>
      </c>
      <c r="S102" s="12" t="str">
        <f t="shared" si="23"/>
        <v/>
      </c>
      <c r="T102" s="12" t="str">
        <f t="shared" si="23"/>
        <v/>
      </c>
      <c r="U102" s="12" t="str">
        <f t="shared" si="23"/>
        <v/>
      </c>
      <c r="V102" s="12" t="str">
        <f t="shared" si="23"/>
        <v/>
      </c>
      <c r="W102" s="12" t="str">
        <f t="shared" si="23"/>
        <v/>
      </c>
      <c r="X102" s="18" t="str">
        <f t="shared" si="23"/>
        <v/>
      </c>
      <c r="Y102" s="12" t="str">
        <f t="shared" si="23"/>
        <v>x</v>
      </c>
      <c r="Z102" s="12" t="str">
        <f t="shared" si="23"/>
        <v/>
      </c>
      <c r="AA102" s="12" t="str">
        <f t="shared" si="23"/>
        <v/>
      </c>
      <c r="AB102" s="12" t="str">
        <f t="shared" si="23"/>
        <v/>
      </c>
      <c r="AC102" s="12" t="str">
        <f t="shared" si="23"/>
        <v/>
      </c>
      <c r="AD102" s="12" t="str">
        <f t="shared" si="23"/>
        <v/>
      </c>
      <c r="AE102" s="18" t="str">
        <f t="shared" si="23"/>
        <v/>
      </c>
    </row>
    <row r="103" spans="1:31" x14ac:dyDescent="0.35">
      <c r="B103" s="74" t="s">
        <v>413</v>
      </c>
      <c r="C103" s="2" t="s">
        <v>414</v>
      </c>
      <c r="D103" s="2" t="s">
        <v>193</v>
      </c>
      <c r="F103" s="2"/>
      <c r="G103" s="2" t="s">
        <v>203</v>
      </c>
      <c r="H103" s="16" t="s">
        <v>189</v>
      </c>
      <c r="I103" s="16" t="s">
        <v>335</v>
      </c>
      <c r="J103" s="16">
        <v>9</v>
      </c>
      <c r="K103" s="17">
        <v>46087</v>
      </c>
      <c r="L103" s="102"/>
      <c r="M103" s="4"/>
      <c r="N103" s="211"/>
      <c r="O103" s="1"/>
      <c r="Q103" s="18" t="str">
        <f t="shared" si="23"/>
        <v/>
      </c>
      <c r="R103" s="12" t="str">
        <f t="shared" si="23"/>
        <v/>
      </c>
      <c r="S103" s="12" t="str">
        <f t="shared" si="23"/>
        <v/>
      </c>
      <c r="T103" s="12" t="str">
        <f t="shared" si="23"/>
        <v/>
      </c>
      <c r="U103" s="12" t="str">
        <f t="shared" si="23"/>
        <v/>
      </c>
      <c r="V103" s="12" t="str">
        <f t="shared" si="23"/>
        <v/>
      </c>
      <c r="W103" s="12" t="str">
        <f t="shared" si="23"/>
        <v/>
      </c>
      <c r="X103" s="18" t="str">
        <f t="shared" si="23"/>
        <v/>
      </c>
      <c r="Y103" s="12" t="str">
        <f t="shared" si="23"/>
        <v>x</v>
      </c>
      <c r="Z103" s="12" t="str">
        <f t="shared" si="23"/>
        <v/>
      </c>
      <c r="AA103" s="12" t="str">
        <f t="shared" si="23"/>
        <v/>
      </c>
      <c r="AB103" s="12" t="str">
        <f t="shared" si="23"/>
        <v/>
      </c>
      <c r="AC103" s="12" t="str">
        <f t="shared" si="23"/>
        <v/>
      </c>
      <c r="AD103" s="12" t="str">
        <f t="shared" si="23"/>
        <v/>
      </c>
      <c r="AE103" s="18" t="str">
        <f t="shared" si="23"/>
        <v/>
      </c>
    </row>
    <row r="104" spans="1:31" x14ac:dyDescent="0.35">
      <c r="B104" s="219" t="s">
        <v>415</v>
      </c>
      <c r="C104" s="173" t="s">
        <v>261</v>
      </c>
      <c r="D104" s="173" t="s">
        <v>186</v>
      </c>
      <c r="E104" s="173" t="s">
        <v>294</v>
      </c>
      <c r="F104" s="173"/>
      <c r="G104" s="173" t="s">
        <v>188</v>
      </c>
      <c r="H104" s="174" t="s">
        <v>189</v>
      </c>
      <c r="I104" s="174" t="s">
        <v>335</v>
      </c>
      <c r="J104" s="174">
        <v>9</v>
      </c>
      <c r="K104" s="174"/>
      <c r="L104" s="175"/>
      <c r="M104" s="174">
        <f>N104/6</f>
        <v>1</v>
      </c>
      <c r="N104" s="214">
        <v>6</v>
      </c>
      <c r="O104" s="1"/>
      <c r="Q104" s="18" t="str">
        <f t="shared" ref="Q104:AE105" si="24">IF($J104=Q$2,"x","")</f>
        <v/>
      </c>
      <c r="R104" s="177"/>
      <c r="S104" s="177"/>
      <c r="T104" s="177"/>
      <c r="U104" s="177"/>
      <c r="V104" s="176"/>
      <c r="W104" s="176"/>
      <c r="X104" s="18" t="str">
        <f t="shared" ref="X104" si="25">IF($J104=X$2,"x","")</f>
        <v/>
      </c>
      <c r="Y104" s="176" t="s">
        <v>183</v>
      </c>
      <c r="Z104" s="176"/>
      <c r="AA104" s="178"/>
      <c r="AB104" s="178"/>
      <c r="AC104" s="178"/>
      <c r="AD104" s="178"/>
      <c r="AE104" s="15"/>
    </row>
    <row r="105" spans="1:31" x14ac:dyDescent="0.35">
      <c r="B105" s="74" t="s">
        <v>416</v>
      </c>
      <c r="C105" s="2" t="s">
        <v>417</v>
      </c>
      <c r="D105" s="2" t="s">
        <v>270</v>
      </c>
      <c r="F105" s="2"/>
      <c r="G105" s="2" t="s">
        <v>203</v>
      </c>
      <c r="H105" s="16" t="s">
        <v>189</v>
      </c>
      <c r="I105" s="16" t="s">
        <v>335</v>
      </c>
      <c r="J105" s="16">
        <v>9</v>
      </c>
      <c r="K105" s="17">
        <v>46087</v>
      </c>
      <c r="L105" s="102"/>
      <c r="M105" s="4"/>
      <c r="N105" s="211"/>
      <c r="O105" s="1"/>
      <c r="Q105" s="18" t="str">
        <f t="shared" si="24"/>
        <v/>
      </c>
      <c r="R105" s="12" t="str">
        <f t="shared" si="24"/>
        <v/>
      </c>
      <c r="S105" s="12" t="str">
        <f t="shared" si="24"/>
        <v/>
      </c>
      <c r="T105" s="12" t="str">
        <f t="shared" si="24"/>
        <v/>
      </c>
      <c r="U105" s="12" t="str">
        <f t="shared" si="24"/>
        <v/>
      </c>
      <c r="V105" s="12" t="str">
        <f t="shared" si="24"/>
        <v/>
      </c>
      <c r="W105" s="12" t="str">
        <f t="shared" si="24"/>
        <v/>
      </c>
      <c r="X105" s="18" t="str">
        <f t="shared" si="24"/>
        <v/>
      </c>
      <c r="Y105" s="12" t="str">
        <f t="shared" si="24"/>
        <v>x</v>
      </c>
      <c r="Z105" s="12" t="str">
        <f t="shared" si="24"/>
        <v/>
      </c>
      <c r="AA105" s="12" t="str">
        <f t="shared" si="24"/>
        <v/>
      </c>
      <c r="AB105" s="12" t="str">
        <f t="shared" si="24"/>
        <v/>
      </c>
      <c r="AC105" s="12" t="str">
        <f t="shared" si="24"/>
        <v/>
      </c>
      <c r="AD105" s="12" t="str">
        <f t="shared" si="24"/>
        <v/>
      </c>
      <c r="AE105" s="18" t="str">
        <f t="shared" si="24"/>
        <v/>
      </c>
    </row>
    <row r="106" spans="1:31" x14ac:dyDescent="0.35">
      <c r="B106" s="219" t="s">
        <v>418</v>
      </c>
      <c r="C106" s="173" t="s">
        <v>261</v>
      </c>
      <c r="D106" s="173" t="s">
        <v>186</v>
      </c>
      <c r="E106" s="173" t="s">
        <v>262</v>
      </c>
      <c r="F106" s="173"/>
      <c r="G106" s="173" t="s">
        <v>188</v>
      </c>
      <c r="H106" s="174" t="s">
        <v>189</v>
      </c>
      <c r="I106" s="174" t="s">
        <v>335</v>
      </c>
      <c r="J106" s="174">
        <v>9</v>
      </c>
      <c r="K106" s="174"/>
      <c r="L106" s="175"/>
      <c r="M106" s="174">
        <f>N106/6</f>
        <v>1</v>
      </c>
      <c r="N106" s="214">
        <v>6</v>
      </c>
      <c r="O106" s="1"/>
      <c r="Q106" s="18" t="str">
        <f t="shared" ref="Q106:AE111" si="26">IF($J106=Q$2,"x","")</f>
        <v/>
      </c>
      <c r="R106" s="177"/>
      <c r="S106" s="177"/>
      <c r="T106" s="177"/>
      <c r="U106" s="177"/>
      <c r="V106" s="176"/>
      <c r="W106" s="176"/>
      <c r="X106" s="18" t="str">
        <f t="shared" ref="X106" si="27">IF($J106=X$2,"x","")</f>
        <v/>
      </c>
      <c r="Y106" s="176" t="s">
        <v>183</v>
      </c>
      <c r="Z106" s="176"/>
      <c r="AA106" s="178"/>
      <c r="AB106" s="178"/>
      <c r="AC106" s="178"/>
      <c r="AD106" s="178"/>
      <c r="AE106" s="15"/>
    </row>
    <row r="107" spans="1:31" x14ac:dyDescent="0.35">
      <c r="B107" s="74" t="s">
        <v>419</v>
      </c>
      <c r="C107" s="2" t="s">
        <v>420</v>
      </c>
      <c r="D107" s="2" t="s">
        <v>270</v>
      </c>
      <c r="F107" s="2"/>
      <c r="G107" s="2" t="s">
        <v>203</v>
      </c>
      <c r="H107" s="16" t="s">
        <v>189</v>
      </c>
      <c r="I107" s="16" t="s">
        <v>335</v>
      </c>
      <c r="J107" s="16">
        <v>9</v>
      </c>
      <c r="K107" s="17">
        <v>46087</v>
      </c>
      <c r="L107" s="102"/>
      <c r="M107" s="4"/>
      <c r="N107" s="211"/>
      <c r="O107" s="1"/>
      <c r="Q107" s="18" t="str">
        <f t="shared" si="26"/>
        <v/>
      </c>
      <c r="R107" s="12" t="str">
        <f t="shared" si="26"/>
        <v/>
      </c>
      <c r="S107" s="12" t="str">
        <f t="shared" si="26"/>
        <v/>
      </c>
      <c r="T107" s="12" t="str">
        <f t="shared" si="26"/>
        <v/>
      </c>
      <c r="U107" s="12" t="str">
        <f t="shared" si="26"/>
        <v/>
      </c>
      <c r="V107" s="12" t="str">
        <f t="shared" si="26"/>
        <v/>
      </c>
      <c r="W107" s="12" t="str">
        <f t="shared" si="26"/>
        <v/>
      </c>
      <c r="X107" s="18" t="str">
        <f t="shared" si="26"/>
        <v/>
      </c>
      <c r="Y107" s="12" t="str">
        <f t="shared" si="26"/>
        <v>x</v>
      </c>
      <c r="Z107" s="12" t="str">
        <f t="shared" si="26"/>
        <v/>
      </c>
      <c r="AA107" s="12" t="str">
        <f t="shared" si="26"/>
        <v/>
      </c>
      <c r="AB107" s="12" t="str">
        <f t="shared" si="26"/>
        <v/>
      </c>
      <c r="AC107" s="12" t="str">
        <f t="shared" si="26"/>
        <v/>
      </c>
      <c r="AD107" s="12" t="str">
        <f t="shared" si="26"/>
        <v/>
      </c>
      <c r="AE107" s="18" t="str">
        <f t="shared" si="26"/>
        <v/>
      </c>
    </row>
    <row r="108" spans="1:31" x14ac:dyDescent="0.35">
      <c r="B108" s="74" t="s">
        <v>421</v>
      </c>
      <c r="C108" s="2" t="s">
        <v>422</v>
      </c>
      <c r="D108" s="2" t="s">
        <v>270</v>
      </c>
      <c r="F108" s="2"/>
      <c r="G108" s="2" t="s">
        <v>203</v>
      </c>
      <c r="H108" s="16" t="s">
        <v>189</v>
      </c>
      <c r="I108" s="16" t="s">
        <v>335</v>
      </c>
      <c r="J108" s="16">
        <v>9</v>
      </c>
      <c r="K108" s="17">
        <v>46087</v>
      </c>
      <c r="L108" s="102"/>
      <c r="M108" s="4"/>
      <c r="N108" s="211"/>
      <c r="O108" s="1"/>
      <c r="Q108" s="18" t="str">
        <f t="shared" si="26"/>
        <v/>
      </c>
      <c r="R108" s="12" t="str">
        <f t="shared" si="26"/>
        <v/>
      </c>
      <c r="S108" s="12" t="str">
        <f t="shared" si="26"/>
        <v/>
      </c>
      <c r="T108" s="12" t="str">
        <f t="shared" si="26"/>
        <v/>
      </c>
      <c r="U108" s="12" t="str">
        <f t="shared" si="26"/>
        <v/>
      </c>
      <c r="V108" s="12" t="str">
        <f t="shared" si="26"/>
        <v/>
      </c>
      <c r="W108" s="12" t="str">
        <f t="shared" si="26"/>
        <v/>
      </c>
      <c r="X108" s="18" t="str">
        <f t="shared" si="26"/>
        <v/>
      </c>
      <c r="Y108" s="12" t="str">
        <f t="shared" si="26"/>
        <v>x</v>
      </c>
      <c r="Z108" s="12" t="str">
        <f t="shared" si="26"/>
        <v/>
      </c>
      <c r="AA108" s="12" t="str">
        <f t="shared" si="26"/>
        <v/>
      </c>
      <c r="AB108" s="12" t="str">
        <f t="shared" si="26"/>
        <v/>
      </c>
      <c r="AC108" s="12" t="str">
        <f t="shared" si="26"/>
        <v/>
      </c>
      <c r="AD108" s="12" t="str">
        <f t="shared" si="26"/>
        <v/>
      </c>
      <c r="AE108" s="18" t="str">
        <f t="shared" si="26"/>
        <v/>
      </c>
    </row>
    <row r="109" spans="1:31" x14ac:dyDescent="0.35">
      <c r="B109" s="74" t="s">
        <v>423</v>
      </c>
      <c r="C109" s="2" t="s">
        <v>424</v>
      </c>
      <c r="D109" s="2" t="s">
        <v>265</v>
      </c>
      <c r="F109" s="2"/>
      <c r="G109" s="2" t="s">
        <v>203</v>
      </c>
      <c r="H109" s="16" t="s">
        <v>189</v>
      </c>
      <c r="I109" s="16" t="s">
        <v>335</v>
      </c>
      <c r="J109" s="16">
        <v>9</v>
      </c>
      <c r="K109" s="17">
        <v>46087</v>
      </c>
      <c r="L109" s="102"/>
      <c r="M109" s="4"/>
      <c r="N109" s="211"/>
      <c r="O109" s="1"/>
      <c r="Q109" s="18" t="str">
        <f t="shared" si="26"/>
        <v/>
      </c>
      <c r="R109" s="12" t="str">
        <f t="shared" si="26"/>
        <v/>
      </c>
      <c r="S109" s="12" t="str">
        <f t="shared" si="26"/>
        <v/>
      </c>
      <c r="T109" s="12" t="str">
        <f t="shared" si="26"/>
        <v/>
      </c>
      <c r="U109" s="12" t="str">
        <f t="shared" si="26"/>
        <v/>
      </c>
      <c r="V109" s="12" t="str">
        <f t="shared" si="26"/>
        <v/>
      </c>
      <c r="W109" s="12" t="str">
        <f t="shared" si="26"/>
        <v/>
      </c>
      <c r="X109" s="18" t="str">
        <f t="shared" si="26"/>
        <v/>
      </c>
      <c r="Y109" s="12" t="str">
        <f t="shared" si="26"/>
        <v>x</v>
      </c>
      <c r="Z109" s="12" t="str">
        <f t="shared" si="26"/>
        <v/>
      </c>
      <c r="AA109" s="12" t="str">
        <f t="shared" si="26"/>
        <v/>
      </c>
      <c r="AB109" s="12" t="str">
        <f t="shared" si="26"/>
        <v/>
      </c>
      <c r="AC109" s="12" t="str">
        <f t="shared" si="26"/>
        <v/>
      </c>
      <c r="AD109" s="12" t="str">
        <f t="shared" si="26"/>
        <v/>
      </c>
      <c r="AE109" s="18" t="str">
        <f t="shared" si="26"/>
        <v/>
      </c>
    </row>
    <row r="110" spans="1:31" x14ac:dyDescent="0.35">
      <c r="A110" s="2"/>
      <c r="B110" s="74" t="s">
        <v>425</v>
      </c>
      <c r="C110" s="2" t="s">
        <v>426</v>
      </c>
      <c r="D110" s="2" t="s">
        <v>265</v>
      </c>
      <c r="F110" s="2"/>
      <c r="G110" s="2" t="s">
        <v>203</v>
      </c>
      <c r="H110" s="16" t="s">
        <v>189</v>
      </c>
      <c r="I110" s="16" t="s">
        <v>335</v>
      </c>
      <c r="J110" s="16">
        <v>9</v>
      </c>
      <c r="K110" s="17">
        <v>46087</v>
      </c>
      <c r="L110" s="102"/>
      <c r="M110" s="4"/>
      <c r="N110" s="211"/>
      <c r="O110" s="1"/>
      <c r="Q110" s="18" t="str">
        <f t="shared" si="26"/>
        <v/>
      </c>
      <c r="R110" s="12" t="str">
        <f t="shared" si="26"/>
        <v/>
      </c>
      <c r="S110" s="12" t="str">
        <f t="shared" si="26"/>
        <v/>
      </c>
      <c r="T110" s="12" t="str">
        <f t="shared" si="26"/>
        <v/>
      </c>
      <c r="U110" s="12" t="str">
        <f t="shared" si="26"/>
        <v/>
      </c>
      <c r="V110" s="12" t="str">
        <f t="shared" si="26"/>
        <v/>
      </c>
      <c r="W110" s="12" t="str">
        <f t="shared" si="26"/>
        <v/>
      </c>
      <c r="X110" s="18" t="str">
        <f t="shared" si="26"/>
        <v/>
      </c>
      <c r="Y110" s="12" t="str">
        <f t="shared" si="26"/>
        <v>x</v>
      </c>
      <c r="Z110" s="12" t="str">
        <f t="shared" si="26"/>
        <v/>
      </c>
      <c r="AA110" s="12" t="str">
        <f t="shared" si="26"/>
        <v/>
      </c>
      <c r="AB110" s="12" t="str">
        <f t="shared" si="26"/>
        <v/>
      </c>
      <c r="AC110" s="12" t="str">
        <f t="shared" si="26"/>
        <v/>
      </c>
      <c r="AD110" s="12" t="str">
        <f t="shared" si="26"/>
        <v/>
      </c>
      <c r="AE110" s="18" t="str">
        <f t="shared" si="26"/>
        <v/>
      </c>
    </row>
    <row r="111" spans="1:31" x14ac:dyDescent="0.35">
      <c r="A111" s="2"/>
      <c r="B111" s="217" t="s">
        <v>181</v>
      </c>
      <c r="C111" s="157" t="s">
        <v>427</v>
      </c>
      <c r="D111" s="158"/>
      <c r="E111" s="158"/>
      <c r="F111" s="158"/>
      <c r="G111" s="158"/>
      <c r="H111" s="158"/>
      <c r="I111" s="158"/>
      <c r="J111" s="159">
        <v>10</v>
      </c>
      <c r="K111" s="160"/>
      <c r="L111" s="161"/>
      <c r="M111" s="158"/>
      <c r="N111" s="209"/>
      <c r="O111" s="1"/>
      <c r="Q111" s="18" t="str">
        <f t="shared" si="26"/>
        <v/>
      </c>
      <c r="R111" s="177"/>
      <c r="S111" s="177"/>
      <c r="T111" s="177"/>
      <c r="U111" s="177"/>
      <c r="V111" s="176"/>
      <c r="W111" s="176"/>
      <c r="X111" s="18" t="str">
        <f t="shared" si="26"/>
        <v/>
      </c>
      <c r="Y111" s="176"/>
      <c r="Z111" s="176" t="s">
        <v>183</v>
      </c>
      <c r="AA111" s="178"/>
      <c r="AB111" s="178"/>
      <c r="AC111" s="178"/>
      <c r="AD111" s="178"/>
      <c r="AE111" s="15"/>
    </row>
    <row r="112" spans="1:31" x14ac:dyDescent="0.35">
      <c r="A112" s="2"/>
      <c r="B112" s="219" t="s">
        <v>428</v>
      </c>
      <c r="C112" s="173" t="s">
        <v>283</v>
      </c>
      <c r="D112" s="173" t="s">
        <v>186</v>
      </c>
      <c r="E112" s="173" t="s">
        <v>187</v>
      </c>
      <c r="F112" s="173"/>
      <c r="G112" s="173" t="s">
        <v>188</v>
      </c>
      <c r="H112" s="174" t="s">
        <v>189</v>
      </c>
      <c r="I112" s="174" t="s">
        <v>335</v>
      </c>
      <c r="J112" s="174">
        <v>10</v>
      </c>
      <c r="K112" s="174"/>
      <c r="L112" s="174"/>
      <c r="M112" s="174">
        <f>N112/6</f>
        <v>3</v>
      </c>
      <c r="N112" s="214">
        <v>18</v>
      </c>
      <c r="O112" s="1"/>
      <c r="Q112" s="18" t="str">
        <f t="shared" ref="Q112:AE116" si="28">IF($J112=Q$2,"x","")</f>
        <v/>
      </c>
      <c r="R112" s="177"/>
      <c r="S112" s="177"/>
      <c r="T112" s="177"/>
      <c r="U112" s="177"/>
      <c r="V112" s="176"/>
      <c r="W112" s="176"/>
      <c r="X112" s="18" t="str">
        <f t="shared" ref="X112:X115" si="29">IF($J112=X$2,"x","")</f>
        <v/>
      </c>
      <c r="Y112" s="176"/>
      <c r="Z112" s="176" t="s">
        <v>183</v>
      </c>
      <c r="AA112" s="178"/>
      <c r="AB112" s="178"/>
      <c r="AC112" s="178"/>
      <c r="AD112" s="178"/>
      <c r="AE112" s="15"/>
    </row>
    <row r="113" spans="1:31" x14ac:dyDescent="0.35">
      <c r="A113" s="2"/>
      <c r="B113" s="219" t="s">
        <v>429</v>
      </c>
      <c r="C113" s="173" t="s">
        <v>430</v>
      </c>
      <c r="D113" s="173" t="s">
        <v>186</v>
      </c>
      <c r="E113" s="173" t="s">
        <v>215</v>
      </c>
      <c r="F113" s="173" t="s">
        <v>431</v>
      </c>
      <c r="G113" s="173" t="s">
        <v>217</v>
      </c>
      <c r="H113" s="174" t="s">
        <v>218</v>
      </c>
      <c r="I113" s="174" t="s">
        <v>335</v>
      </c>
      <c r="J113" s="174">
        <v>10</v>
      </c>
      <c r="K113" s="174"/>
      <c r="L113" s="175"/>
      <c r="M113" s="174">
        <f>N113/6</f>
        <v>2</v>
      </c>
      <c r="N113" s="214">
        <v>12</v>
      </c>
      <c r="O113" s="1"/>
      <c r="Q113" s="18" t="str">
        <f t="shared" si="28"/>
        <v/>
      </c>
      <c r="R113" s="177"/>
      <c r="S113" s="177"/>
      <c r="T113" s="177"/>
      <c r="U113" s="177"/>
      <c r="V113" s="176"/>
      <c r="W113" s="176"/>
      <c r="X113" s="18" t="str">
        <f t="shared" si="29"/>
        <v/>
      </c>
      <c r="Y113" s="176"/>
      <c r="Z113" s="176" t="s">
        <v>183</v>
      </c>
      <c r="AA113" s="178"/>
      <c r="AB113" s="178"/>
      <c r="AC113" s="178"/>
      <c r="AD113" s="178"/>
      <c r="AE113" s="15"/>
    </row>
    <row r="114" spans="1:31" x14ac:dyDescent="0.35">
      <c r="B114" s="219" t="s">
        <v>432</v>
      </c>
      <c r="C114" s="173" t="s">
        <v>288</v>
      </c>
      <c r="D114" s="173" t="s">
        <v>186</v>
      </c>
      <c r="E114" s="173" t="s">
        <v>289</v>
      </c>
      <c r="F114" s="173" t="s">
        <v>290</v>
      </c>
      <c r="G114" s="173" t="s">
        <v>291</v>
      </c>
      <c r="H114" s="174" t="s">
        <v>292</v>
      </c>
      <c r="I114" s="174" t="s">
        <v>335</v>
      </c>
      <c r="J114" s="174">
        <v>10</v>
      </c>
      <c r="K114" s="174"/>
      <c r="L114" s="175"/>
      <c r="M114" s="174">
        <f>N114/6</f>
        <v>2</v>
      </c>
      <c r="N114" s="214">
        <v>12</v>
      </c>
      <c r="O114" s="1"/>
      <c r="Q114" s="18" t="str">
        <f t="shared" si="28"/>
        <v/>
      </c>
      <c r="R114" s="177"/>
      <c r="S114" s="177"/>
      <c r="T114" s="177"/>
      <c r="U114" s="177"/>
      <c r="V114" s="176"/>
      <c r="W114" s="176"/>
      <c r="X114" s="18" t="str">
        <f t="shared" si="29"/>
        <v/>
      </c>
      <c r="Y114" s="176"/>
      <c r="Z114" s="176" t="s">
        <v>183</v>
      </c>
      <c r="AA114" s="178"/>
      <c r="AB114" s="178"/>
      <c r="AC114" s="178"/>
      <c r="AD114" s="178"/>
      <c r="AE114" s="15"/>
    </row>
    <row r="115" spans="1:31" x14ac:dyDescent="0.35">
      <c r="B115" s="219" t="s">
        <v>433</v>
      </c>
      <c r="C115" s="173" t="s">
        <v>261</v>
      </c>
      <c r="D115" s="173" t="s">
        <v>186</v>
      </c>
      <c r="E115" s="173" t="s">
        <v>294</v>
      </c>
      <c r="F115" s="173"/>
      <c r="G115" s="173" t="s">
        <v>188</v>
      </c>
      <c r="H115" s="174" t="s">
        <v>189</v>
      </c>
      <c r="I115" s="174" t="s">
        <v>335</v>
      </c>
      <c r="J115" s="174">
        <v>10</v>
      </c>
      <c r="K115" s="174"/>
      <c r="L115" s="175"/>
      <c r="M115" s="174">
        <f>N115/6</f>
        <v>1</v>
      </c>
      <c r="N115" s="214">
        <v>6</v>
      </c>
      <c r="O115" s="1"/>
      <c r="Q115" s="18" t="str">
        <f t="shared" si="28"/>
        <v/>
      </c>
      <c r="R115" s="177"/>
      <c r="S115" s="177"/>
      <c r="T115" s="177"/>
      <c r="U115" s="177"/>
      <c r="V115" s="176"/>
      <c r="W115" s="176"/>
      <c r="X115" s="18" t="str">
        <f t="shared" si="29"/>
        <v/>
      </c>
      <c r="Y115" s="176"/>
      <c r="Z115" s="176" t="s">
        <v>183</v>
      </c>
      <c r="AA115" s="178"/>
      <c r="AB115" s="178"/>
      <c r="AC115" s="178"/>
      <c r="AD115" s="178"/>
      <c r="AE115" s="15"/>
    </row>
    <row r="116" spans="1:31" x14ac:dyDescent="0.35">
      <c r="B116" s="74" t="s">
        <v>434</v>
      </c>
      <c r="C116" s="2" t="s">
        <v>435</v>
      </c>
      <c r="D116" s="2" t="s">
        <v>193</v>
      </c>
      <c r="F116" s="2"/>
      <c r="G116" s="2" t="s">
        <v>203</v>
      </c>
      <c r="H116" s="16" t="s">
        <v>189</v>
      </c>
      <c r="I116" s="16" t="s">
        <v>335</v>
      </c>
      <c r="J116" s="16">
        <v>10</v>
      </c>
      <c r="K116" s="17">
        <v>46094</v>
      </c>
      <c r="L116" s="102"/>
      <c r="M116" s="4"/>
      <c r="N116" s="211"/>
      <c r="O116" s="1"/>
      <c r="Q116" s="18" t="str">
        <f t="shared" si="28"/>
        <v/>
      </c>
      <c r="R116" s="12" t="str">
        <f t="shared" si="28"/>
        <v/>
      </c>
      <c r="S116" s="12" t="str">
        <f t="shared" si="28"/>
        <v/>
      </c>
      <c r="T116" s="12" t="str">
        <f t="shared" si="28"/>
        <v/>
      </c>
      <c r="U116" s="12" t="str">
        <f t="shared" si="28"/>
        <v/>
      </c>
      <c r="V116" s="12" t="str">
        <f t="shared" si="28"/>
        <v/>
      </c>
      <c r="W116" s="12" t="str">
        <f t="shared" si="28"/>
        <v/>
      </c>
      <c r="X116" s="18" t="str">
        <f t="shared" si="28"/>
        <v/>
      </c>
      <c r="Y116" s="12" t="str">
        <f t="shared" si="28"/>
        <v/>
      </c>
      <c r="Z116" s="12" t="str">
        <f t="shared" si="28"/>
        <v>x</v>
      </c>
      <c r="AA116" s="12" t="str">
        <f t="shared" si="28"/>
        <v/>
      </c>
      <c r="AB116" s="12" t="str">
        <f t="shared" si="28"/>
        <v/>
      </c>
      <c r="AC116" s="12" t="str">
        <f t="shared" si="28"/>
        <v/>
      </c>
      <c r="AD116" s="12" t="str">
        <f t="shared" si="28"/>
        <v/>
      </c>
      <c r="AE116" s="18" t="str">
        <f t="shared" si="28"/>
        <v/>
      </c>
    </row>
    <row r="117" spans="1:31" x14ac:dyDescent="0.35">
      <c r="B117" s="219" t="s">
        <v>436</v>
      </c>
      <c r="C117" s="173" t="s">
        <v>261</v>
      </c>
      <c r="D117" s="173" t="s">
        <v>186</v>
      </c>
      <c r="E117" s="173" t="s">
        <v>262</v>
      </c>
      <c r="F117" s="173"/>
      <c r="G117" s="173" t="s">
        <v>188</v>
      </c>
      <c r="H117" s="174" t="s">
        <v>189</v>
      </c>
      <c r="I117" s="174" t="s">
        <v>335</v>
      </c>
      <c r="J117" s="174">
        <v>10</v>
      </c>
      <c r="K117" s="174"/>
      <c r="L117" s="175"/>
      <c r="M117" s="174">
        <f>N117/6</f>
        <v>1</v>
      </c>
      <c r="N117" s="214">
        <v>6</v>
      </c>
      <c r="O117" s="1"/>
      <c r="Q117" s="18" t="str">
        <f t="shared" ref="Q117:AE126" si="30">IF($J117=Q$2,"x","")</f>
        <v/>
      </c>
      <c r="R117" s="177"/>
      <c r="S117" s="177"/>
      <c r="T117" s="177"/>
      <c r="U117" s="177"/>
      <c r="V117" s="176"/>
      <c r="W117" s="176"/>
      <c r="X117" s="18" t="str">
        <f t="shared" si="30"/>
        <v/>
      </c>
      <c r="Y117" s="176"/>
      <c r="Z117" s="176" t="s">
        <v>183</v>
      </c>
      <c r="AA117" s="178"/>
      <c r="AB117" s="178"/>
      <c r="AC117" s="178"/>
      <c r="AD117" s="178"/>
      <c r="AE117" s="15"/>
    </row>
    <row r="118" spans="1:31" x14ac:dyDescent="0.35">
      <c r="B118" s="74" t="s">
        <v>437</v>
      </c>
      <c r="C118" s="2" t="s">
        <v>438</v>
      </c>
      <c r="D118" s="2" t="s">
        <v>270</v>
      </c>
      <c r="F118" s="2"/>
      <c r="G118" s="2" t="s">
        <v>203</v>
      </c>
      <c r="H118" s="16" t="s">
        <v>189</v>
      </c>
      <c r="I118" s="16" t="s">
        <v>335</v>
      </c>
      <c r="J118" s="16">
        <v>10</v>
      </c>
      <c r="K118" s="17">
        <v>46094</v>
      </c>
      <c r="L118" s="102"/>
      <c r="M118" s="4"/>
      <c r="N118" s="211"/>
      <c r="O118" s="1"/>
      <c r="Q118" s="18" t="str">
        <f t="shared" si="30"/>
        <v/>
      </c>
      <c r="R118" s="12" t="str">
        <f t="shared" si="30"/>
        <v/>
      </c>
      <c r="S118" s="12" t="str">
        <f t="shared" si="30"/>
        <v/>
      </c>
      <c r="T118" s="12" t="str">
        <f t="shared" si="30"/>
        <v/>
      </c>
      <c r="U118" s="12" t="str">
        <f t="shared" si="30"/>
        <v/>
      </c>
      <c r="V118" s="12" t="str">
        <f t="shared" si="30"/>
        <v/>
      </c>
      <c r="W118" s="12" t="str">
        <f t="shared" si="30"/>
        <v/>
      </c>
      <c r="X118" s="18" t="str">
        <f t="shared" si="30"/>
        <v/>
      </c>
      <c r="Y118" s="12" t="str">
        <f t="shared" si="30"/>
        <v/>
      </c>
      <c r="Z118" s="12" t="str">
        <f t="shared" si="30"/>
        <v>x</v>
      </c>
      <c r="AA118" s="12" t="str">
        <f t="shared" si="30"/>
        <v/>
      </c>
      <c r="AB118" s="12" t="str">
        <f t="shared" si="30"/>
        <v/>
      </c>
      <c r="AC118" s="12" t="str">
        <f t="shared" si="30"/>
        <v/>
      </c>
      <c r="AD118" s="12" t="str">
        <f t="shared" si="30"/>
        <v/>
      </c>
      <c r="AE118" s="18" t="str">
        <f t="shared" si="30"/>
        <v/>
      </c>
    </row>
    <row r="119" spans="1:31" x14ac:dyDescent="0.35">
      <c r="B119" s="74" t="s">
        <v>439</v>
      </c>
      <c r="C119" s="2" t="s">
        <v>440</v>
      </c>
      <c r="D119" s="2" t="s">
        <v>270</v>
      </c>
      <c r="F119" s="2"/>
      <c r="G119" s="2" t="s">
        <v>203</v>
      </c>
      <c r="H119" s="16" t="s">
        <v>189</v>
      </c>
      <c r="I119" s="16" t="s">
        <v>335</v>
      </c>
      <c r="J119" s="16">
        <v>10</v>
      </c>
      <c r="K119" s="17">
        <v>46094</v>
      </c>
      <c r="L119" s="102"/>
      <c r="M119" s="4"/>
      <c r="N119" s="211"/>
      <c r="O119" s="1"/>
      <c r="Q119" s="18" t="str">
        <f t="shared" si="30"/>
        <v/>
      </c>
      <c r="R119" s="12" t="str">
        <f t="shared" si="30"/>
        <v/>
      </c>
      <c r="S119" s="12" t="str">
        <f t="shared" si="30"/>
        <v/>
      </c>
      <c r="T119" s="12" t="str">
        <f t="shared" si="30"/>
        <v/>
      </c>
      <c r="U119" s="12" t="str">
        <f t="shared" si="30"/>
        <v/>
      </c>
      <c r="V119" s="12" t="str">
        <f t="shared" si="30"/>
        <v/>
      </c>
      <c r="W119" s="12" t="str">
        <f t="shared" si="30"/>
        <v/>
      </c>
      <c r="X119" s="18" t="str">
        <f t="shared" si="30"/>
        <v/>
      </c>
      <c r="Y119" s="12" t="str">
        <f t="shared" si="30"/>
        <v/>
      </c>
      <c r="Z119" s="12" t="str">
        <f t="shared" si="30"/>
        <v>x</v>
      </c>
      <c r="AA119" s="12" t="str">
        <f t="shared" si="30"/>
        <v/>
      </c>
      <c r="AB119" s="12" t="str">
        <f t="shared" si="30"/>
        <v/>
      </c>
      <c r="AC119" s="12" t="str">
        <f t="shared" si="30"/>
        <v/>
      </c>
      <c r="AD119" s="12" t="str">
        <f t="shared" si="30"/>
        <v/>
      </c>
      <c r="AE119" s="18" t="str">
        <f t="shared" si="30"/>
        <v/>
      </c>
    </row>
    <row r="120" spans="1:31" x14ac:dyDescent="0.35">
      <c r="B120" s="74" t="s">
        <v>441</v>
      </c>
      <c r="C120" s="2" t="s">
        <v>442</v>
      </c>
      <c r="D120" s="2" t="s">
        <v>265</v>
      </c>
      <c r="F120" s="2"/>
      <c r="G120" s="2" t="s">
        <v>203</v>
      </c>
      <c r="H120" s="16" t="s">
        <v>189</v>
      </c>
      <c r="I120" s="16" t="s">
        <v>335</v>
      </c>
      <c r="J120" s="16">
        <v>10</v>
      </c>
      <c r="K120" s="17">
        <v>46094</v>
      </c>
      <c r="L120" s="102"/>
      <c r="M120" s="4"/>
      <c r="N120" s="211"/>
      <c r="O120" s="1"/>
      <c r="Q120" s="18" t="str">
        <f t="shared" si="30"/>
        <v/>
      </c>
      <c r="R120" s="12" t="str">
        <f t="shared" si="30"/>
        <v/>
      </c>
      <c r="S120" s="12" t="str">
        <f t="shared" si="30"/>
        <v/>
      </c>
      <c r="T120" s="12" t="str">
        <f t="shared" si="30"/>
        <v/>
      </c>
      <c r="U120" s="12" t="str">
        <f t="shared" si="30"/>
        <v/>
      </c>
      <c r="V120" s="12" t="str">
        <f t="shared" si="30"/>
        <v/>
      </c>
      <c r="W120" s="12" t="str">
        <f t="shared" si="30"/>
        <v/>
      </c>
      <c r="X120" s="18" t="str">
        <f t="shared" si="30"/>
        <v/>
      </c>
      <c r="Y120" s="12" t="str">
        <f t="shared" si="30"/>
        <v/>
      </c>
      <c r="Z120" s="12" t="str">
        <f t="shared" si="30"/>
        <v>x</v>
      </c>
      <c r="AA120" s="12" t="str">
        <f t="shared" si="30"/>
        <v/>
      </c>
      <c r="AB120" s="12" t="str">
        <f t="shared" si="30"/>
        <v/>
      </c>
      <c r="AC120" s="12" t="str">
        <f t="shared" si="30"/>
        <v/>
      </c>
      <c r="AD120" s="12" t="str">
        <f t="shared" si="30"/>
        <v/>
      </c>
      <c r="AE120" s="18" t="str">
        <f t="shared" si="30"/>
        <v/>
      </c>
    </row>
    <row r="121" spans="1:31" x14ac:dyDescent="0.35">
      <c r="B121" s="74" t="s">
        <v>443</v>
      </c>
      <c r="C121" s="2" t="s">
        <v>363</v>
      </c>
      <c r="D121" s="2" t="s">
        <v>265</v>
      </c>
      <c r="F121" s="2"/>
      <c r="G121" s="2" t="s">
        <v>203</v>
      </c>
      <c r="H121" s="16" t="s">
        <v>189</v>
      </c>
      <c r="I121" s="16" t="s">
        <v>335</v>
      </c>
      <c r="J121" s="16">
        <v>10</v>
      </c>
      <c r="K121" s="17">
        <v>46094</v>
      </c>
      <c r="L121" s="102"/>
      <c r="M121" s="4"/>
      <c r="N121" s="211"/>
      <c r="O121" s="1"/>
      <c r="Q121" s="18" t="str">
        <f t="shared" si="30"/>
        <v/>
      </c>
      <c r="R121" s="12" t="str">
        <f t="shared" si="30"/>
        <v/>
      </c>
      <c r="S121" s="12" t="str">
        <f t="shared" si="30"/>
        <v/>
      </c>
      <c r="T121" s="12" t="str">
        <f t="shared" si="30"/>
        <v/>
      </c>
      <c r="U121" s="12" t="str">
        <f t="shared" si="30"/>
        <v/>
      </c>
      <c r="V121" s="12" t="str">
        <f t="shared" si="30"/>
        <v/>
      </c>
      <c r="W121" s="12" t="str">
        <f t="shared" si="30"/>
        <v/>
      </c>
      <c r="X121" s="18" t="str">
        <f t="shared" si="30"/>
        <v/>
      </c>
      <c r="Y121" s="12" t="str">
        <f t="shared" si="30"/>
        <v/>
      </c>
      <c r="Z121" s="12" t="str">
        <f t="shared" si="30"/>
        <v>x</v>
      </c>
      <c r="AA121" s="12" t="str">
        <f t="shared" si="30"/>
        <v/>
      </c>
      <c r="AB121" s="12" t="str">
        <f t="shared" si="30"/>
        <v/>
      </c>
      <c r="AC121" s="12" t="str">
        <f t="shared" si="30"/>
        <v/>
      </c>
      <c r="AD121" s="12" t="str">
        <f t="shared" si="30"/>
        <v/>
      </c>
      <c r="AE121" s="18" t="str">
        <f t="shared" si="30"/>
        <v/>
      </c>
    </row>
    <row r="122" spans="1:31" x14ac:dyDescent="0.35">
      <c r="B122" s="219" t="s">
        <v>444</v>
      </c>
      <c r="C122" s="173" t="s">
        <v>445</v>
      </c>
      <c r="D122" s="173" t="s">
        <v>186</v>
      </c>
      <c r="E122" s="173" t="s">
        <v>304</v>
      </c>
      <c r="F122" s="173" t="s">
        <v>431</v>
      </c>
      <c r="G122" s="173" t="s">
        <v>446</v>
      </c>
      <c r="H122" s="174" t="s">
        <v>218</v>
      </c>
      <c r="I122" s="174" t="s">
        <v>335</v>
      </c>
      <c r="J122" s="174">
        <v>10</v>
      </c>
      <c r="K122" s="174"/>
      <c r="L122" s="175"/>
      <c r="M122" s="174">
        <f>N122/6</f>
        <v>3</v>
      </c>
      <c r="N122" s="214">
        <v>18</v>
      </c>
      <c r="O122" s="1"/>
      <c r="Q122" s="18" t="str">
        <f t="shared" si="30"/>
        <v/>
      </c>
      <c r="R122" s="177"/>
      <c r="S122" s="177"/>
      <c r="T122" s="177"/>
      <c r="U122" s="177"/>
      <c r="V122" s="176"/>
      <c r="W122" s="176"/>
      <c r="X122" s="18" t="str">
        <f t="shared" si="30"/>
        <v/>
      </c>
      <c r="Y122" s="176"/>
      <c r="Z122" s="176" t="s">
        <v>183</v>
      </c>
      <c r="AA122" s="178"/>
      <c r="AB122" s="178"/>
      <c r="AC122" s="178"/>
      <c r="AD122" s="178"/>
      <c r="AE122" s="15"/>
    </row>
    <row r="123" spans="1:31" x14ac:dyDescent="0.35">
      <c r="B123" s="74" t="s">
        <v>447</v>
      </c>
      <c r="C123" s="2" t="s">
        <v>448</v>
      </c>
      <c r="D123" s="2" t="s">
        <v>265</v>
      </c>
      <c r="F123" s="2"/>
      <c r="G123" s="2" t="s">
        <v>449</v>
      </c>
      <c r="H123" s="16" t="s">
        <v>218</v>
      </c>
      <c r="I123" s="16" t="s">
        <v>335</v>
      </c>
      <c r="J123" s="16">
        <v>10</v>
      </c>
      <c r="K123" s="17">
        <v>46094</v>
      </c>
      <c r="L123" s="102"/>
      <c r="M123" s="4"/>
      <c r="N123" s="211"/>
      <c r="O123" s="1"/>
      <c r="Q123" s="18" t="str">
        <f t="shared" si="30"/>
        <v/>
      </c>
      <c r="R123" s="12" t="str">
        <f t="shared" si="30"/>
        <v/>
      </c>
      <c r="S123" s="12" t="str">
        <f t="shared" si="30"/>
        <v/>
      </c>
      <c r="T123" s="12" t="str">
        <f t="shared" si="30"/>
        <v/>
      </c>
      <c r="U123" s="12" t="str">
        <f t="shared" si="30"/>
        <v/>
      </c>
      <c r="V123" s="12" t="str">
        <f t="shared" si="30"/>
        <v/>
      </c>
      <c r="W123" s="12" t="str">
        <f t="shared" si="30"/>
        <v/>
      </c>
      <c r="X123" s="18" t="str">
        <f t="shared" si="30"/>
        <v/>
      </c>
      <c r="Y123" s="12" t="str">
        <f t="shared" si="30"/>
        <v/>
      </c>
      <c r="Z123" s="12" t="str">
        <f t="shared" si="30"/>
        <v>x</v>
      </c>
      <c r="AA123" s="12" t="str">
        <f t="shared" si="30"/>
        <v/>
      </c>
      <c r="AB123" s="12" t="str">
        <f t="shared" si="30"/>
        <v/>
      </c>
      <c r="AC123" s="12" t="str">
        <f t="shared" si="30"/>
        <v/>
      </c>
      <c r="AD123" s="12" t="str">
        <f t="shared" si="30"/>
        <v/>
      </c>
      <c r="AE123" s="18" t="str">
        <f t="shared" si="30"/>
        <v/>
      </c>
    </row>
    <row r="124" spans="1:31" x14ac:dyDescent="0.35">
      <c r="B124" s="74" t="s">
        <v>450</v>
      </c>
      <c r="C124" s="2" t="s">
        <v>451</v>
      </c>
      <c r="D124" s="2" t="s">
        <v>241</v>
      </c>
      <c r="F124" s="2"/>
      <c r="G124" s="2" t="s">
        <v>452</v>
      </c>
      <c r="H124" s="16" t="s">
        <v>218</v>
      </c>
      <c r="I124" s="16" t="s">
        <v>335</v>
      </c>
      <c r="J124" s="16">
        <v>10</v>
      </c>
      <c r="K124" s="17">
        <v>46087</v>
      </c>
      <c r="L124" s="102"/>
      <c r="M124" s="4"/>
      <c r="N124" s="211"/>
      <c r="O124" s="1">
        <v>0</v>
      </c>
      <c r="Q124" s="18" t="str">
        <f t="shared" si="30"/>
        <v/>
      </c>
      <c r="R124" s="12" t="str">
        <f t="shared" si="30"/>
        <v/>
      </c>
      <c r="S124" s="12" t="str">
        <f t="shared" si="30"/>
        <v/>
      </c>
      <c r="T124" s="12" t="str">
        <f t="shared" si="30"/>
        <v/>
      </c>
      <c r="U124" s="12" t="str">
        <f t="shared" si="30"/>
        <v/>
      </c>
      <c r="V124" s="12" t="str">
        <f t="shared" si="30"/>
        <v/>
      </c>
      <c r="W124" s="12" t="str">
        <f t="shared" si="30"/>
        <v/>
      </c>
      <c r="X124" s="18" t="str">
        <f t="shared" si="30"/>
        <v/>
      </c>
      <c r="Y124" s="12" t="str">
        <f t="shared" si="30"/>
        <v/>
      </c>
      <c r="Z124" s="12" t="str">
        <f t="shared" si="30"/>
        <v>x</v>
      </c>
      <c r="AA124" s="12" t="str">
        <f t="shared" si="30"/>
        <v/>
      </c>
      <c r="AB124" s="12" t="str">
        <f t="shared" si="30"/>
        <v/>
      </c>
      <c r="AC124" s="12" t="str">
        <f t="shared" si="30"/>
        <v/>
      </c>
      <c r="AD124" s="12" t="str">
        <f t="shared" si="30"/>
        <v/>
      </c>
      <c r="AE124" s="18" t="str">
        <f t="shared" si="30"/>
        <v/>
      </c>
    </row>
    <row r="125" spans="1:31" x14ac:dyDescent="0.35">
      <c r="B125" s="74" t="s">
        <v>453</v>
      </c>
      <c r="C125" s="2" t="s">
        <v>454</v>
      </c>
      <c r="D125" s="2" t="s">
        <v>241</v>
      </c>
      <c r="F125" s="2"/>
      <c r="G125" s="2" t="s">
        <v>455</v>
      </c>
      <c r="H125" s="16" t="s">
        <v>218</v>
      </c>
      <c r="I125" s="16" t="s">
        <v>456</v>
      </c>
      <c r="J125" s="16">
        <v>10</v>
      </c>
      <c r="K125" s="17">
        <v>46094</v>
      </c>
      <c r="L125" s="102"/>
      <c r="M125" s="4"/>
      <c r="N125" s="211"/>
      <c r="O125" s="1">
        <v>0</v>
      </c>
      <c r="Q125" s="18" t="str">
        <f t="shared" si="30"/>
        <v/>
      </c>
      <c r="R125" s="12" t="str">
        <f t="shared" si="30"/>
        <v/>
      </c>
      <c r="S125" s="12" t="str">
        <f t="shared" si="30"/>
        <v/>
      </c>
      <c r="T125" s="12" t="str">
        <f t="shared" si="30"/>
        <v/>
      </c>
      <c r="U125" s="12" t="str">
        <f t="shared" si="30"/>
        <v/>
      </c>
      <c r="V125" s="12" t="str">
        <f t="shared" si="30"/>
        <v/>
      </c>
      <c r="W125" s="12" t="str">
        <f t="shared" si="30"/>
        <v/>
      </c>
      <c r="X125" s="18" t="str">
        <f t="shared" si="30"/>
        <v/>
      </c>
      <c r="Y125" s="12" t="str">
        <f t="shared" si="30"/>
        <v/>
      </c>
      <c r="Z125" s="12" t="str">
        <f t="shared" si="30"/>
        <v>x</v>
      </c>
      <c r="AA125" s="12" t="str">
        <f t="shared" si="30"/>
        <v/>
      </c>
      <c r="AB125" s="12" t="str">
        <f t="shared" si="30"/>
        <v/>
      </c>
      <c r="AC125" s="12" t="str">
        <f t="shared" si="30"/>
        <v/>
      </c>
      <c r="AD125" s="12" t="str">
        <f t="shared" si="30"/>
        <v/>
      </c>
      <c r="AE125" s="18" t="str">
        <f t="shared" si="30"/>
        <v/>
      </c>
    </row>
    <row r="126" spans="1:31" x14ac:dyDescent="0.35">
      <c r="B126" s="74" t="s">
        <v>457</v>
      </c>
      <c r="C126" s="2" t="s">
        <v>458</v>
      </c>
      <c r="D126" s="2" t="s">
        <v>241</v>
      </c>
      <c r="F126" s="2"/>
      <c r="G126" s="2" t="s">
        <v>280</v>
      </c>
      <c r="H126" s="16" t="s">
        <v>218</v>
      </c>
      <c r="I126" s="16" t="s">
        <v>456</v>
      </c>
      <c r="J126" s="16">
        <v>10</v>
      </c>
      <c r="K126" s="17">
        <v>46094</v>
      </c>
      <c r="L126" s="102"/>
      <c r="M126" s="4"/>
      <c r="N126" s="211"/>
      <c r="O126" s="1"/>
      <c r="Q126" s="18" t="str">
        <f t="shared" si="30"/>
        <v/>
      </c>
      <c r="R126" s="12" t="str">
        <f t="shared" si="30"/>
        <v/>
      </c>
      <c r="S126" s="12" t="str">
        <f t="shared" si="30"/>
        <v/>
      </c>
      <c r="T126" s="12" t="str">
        <f t="shared" si="30"/>
        <v/>
      </c>
      <c r="U126" s="12" t="str">
        <f t="shared" si="30"/>
        <v/>
      </c>
      <c r="V126" s="12" t="str">
        <f t="shared" si="30"/>
        <v/>
      </c>
      <c r="W126" s="12" t="str">
        <f t="shared" si="30"/>
        <v/>
      </c>
      <c r="X126" s="18" t="str">
        <f t="shared" si="30"/>
        <v/>
      </c>
      <c r="Y126" s="12" t="str">
        <f t="shared" si="30"/>
        <v/>
      </c>
      <c r="Z126" s="12" t="str">
        <f t="shared" si="30"/>
        <v>x</v>
      </c>
      <c r="AA126" s="12" t="str">
        <f t="shared" si="30"/>
        <v/>
      </c>
      <c r="AB126" s="12" t="str">
        <f t="shared" si="30"/>
        <v/>
      </c>
      <c r="AC126" s="12" t="str">
        <f t="shared" si="30"/>
        <v/>
      </c>
      <c r="AD126" s="12" t="str">
        <f t="shared" si="30"/>
        <v/>
      </c>
      <c r="AE126" s="18" t="str">
        <f t="shared" si="30"/>
        <v/>
      </c>
    </row>
    <row r="127" spans="1:31" x14ac:dyDescent="0.35">
      <c r="B127" s="219" t="s">
        <v>459</v>
      </c>
      <c r="C127" s="173" t="s">
        <v>460</v>
      </c>
      <c r="D127" s="173" t="s">
        <v>186</v>
      </c>
      <c r="E127" s="173" t="s">
        <v>330</v>
      </c>
      <c r="F127" s="173" t="s">
        <v>431</v>
      </c>
      <c r="G127" s="173" t="s">
        <v>461</v>
      </c>
      <c r="H127" s="174" t="s">
        <v>218</v>
      </c>
      <c r="I127" s="174" t="s">
        <v>335</v>
      </c>
      <c r="J127" s="174">
        <v>10</v>
      </c>
      <c r="K127" s="174"/>
      <c r="L127" s="175"/>
      <c r="M127" s="174">
        <f>N127/6</f>
        <v>2</v>
      </c>
      <c r="N127" s="214">
        <v>12</v>
      </c>
      <c r="O127" s="1"/>
      <c r="Q127" s="18" t="str">
        <f t="shared" ref="Q127:AE135" si="31">IF($J127=Q$2,"x","")</f>
        <v/>
      </c>
      <c r="R127" s="177"/>
      <c r="S127" s="177"/>
      <c r="T127" s="177"/>
      <c r="U127" s="177"/>
      <c r="V127" s="176"/>
      <c r="W127" s="176"/>
      <c r="X127" s="18" t="str">
        <f t="shared" si="31"/>
        <v/>
      </c>
      <c r="Y127" s="176"/>
      <c r="Z127" s="176" t="s">
        <v>183</v>
      </c>
      <c r="AA127" s="178"/>
      <c r="AB127" s="178"/>
      <c r="AC127" s="178"/>
      <c r="AD127" s="178"/>
      <c r="AE127" s="15"/>
    </row>
    <row r="128" spans="1:31" x14ac:dyDescent="0.35">
      <c r="B128" s="219" t="s">
        <v>462</v>
      </c>
      <c r="C128" s="173" t="s">
        <v>463</v>
      </c>
      <c r="D128" s="173" t="s">
        <v>186</v>
      </c>
      <c r="E128" s="173" t="s">
        <v>256</v>
      </c>
      <c r="F128" s="173"/>
      <c r="G128" s="173" t="s">
        <v>188</v>
      </c>
      <c r="H128" s="174" t="s">
        <v>257</v>
      </c>
      <c r="I128" s="174" t="s">
        <v>335</v>
      </c>
      <c r="J128" s="174">
        <v>10</v>
      </c>
      <c r="K128" s="174"/>
      <c r="L128" s="175"/>
      <c r="M128" s="174">
        <f>N128/6</f>
        <v>2</v>
      </c>
      <c r="N128" s="214">
        <v>12</v>
      </c>
      <c r="O128" s="1"/>
      <c r="Q128" s="18" t="str">
        <f t="shared" si="31"/>
        <v/>
      </c>
      <c r="R128" s="177"/>
      <c r="S128" s="177"/>
      <c r="T128" s="177"/>
      <c r="U128" s="177"/>
      <c r="V128" s="176"/>
      <c r="W128" s="176"/>
      <c r="X128" s="18" t="str">
        <f t="shared" si="31"/>
        <v/>
      </c>
      <c r="Y128" s="176"/>
      <c r="Z128" s="176" t="s">
        <v>183</v>
      </c>
      <c r="AA128" s="178"/>
      <c r="AB128" s="178"/>
      <c r="AC128" s="178"/>
      <c r="AD128" s="178"/>
      <c r="AE128" s="15"/>
    </row>
    <row r="129" spans="2:31" x14ac:dyDescent="0.35">
      <c r="B129" s="217" t="s">
        <v>181</v>
      </c>
      <c r="C129" s="157" t="s">
        <v>464</v>
      </c>
      <c r="D129" s="158"/>
      <c r="E129" s="158"/>
      <c r="F129" s="158"/>
      <c r="G129" s="158"/>
      <c r="H129" s="158"/>
      <c r="I129" s="158"/>
      <c r="J129" s="159">
        <v>11</v>
      </c>
      <c r="K129" s="160"/>
      <c r="L129" s="161"/>
      <c r="M129" s="158"/>
      <c r="N129" s="209"/>
      <c r="O129" s="1"/>
      <c r="Q129" s="18" t="str">
        <f t="shared" si="31"/>
        <v/>
      </c>
      <c r="R129" s="177"/>
      <c r="S129" s="177"/>
      <c r="T129" s="177"/>
      <c r="U129" s="177"/>
      <c r="V129" s="176"/>
      <c r="W129" s="176"/>
      <c r="X129" s="18" t="str">
        <f t="shared" si="31"/>
        <v/>
      </c>
      <c r="Y129" s="176"/>
      <c r="Z129" s="176"/>
      <c r="AA129" s="178" t="s">
        <v>183</v>
      </c>
      <c r="AB129" s="178"/>
      <c r="AC129" s="178"/>
      <c r="AD129" s="178"/>
      <c r="AE129" s="15"/>
    </row>
    <row r="130" spans="2:31" x14ac:dyDescent="0.35">
      <c r="B130" s="220" t="s">
        <v>465</v>
      </c>
      <c r="C130" s="168" t="s">
        <v>334</v>
      </c>
      <c r="D130" s="168" t="s">
        <v>186</v>
      </c>
      <c r="E130" s="168" t="s">
        <v>187</v>
      </c>
      <c r="F130" s="168"/>
      <c r="G130" s="168" t="s">
        <v>188</v>
      </c>
      <c r="H130" s="169" t="s">
        <v>189</v>
      </c>
      <c r="I130" s="169" t="s">
        <v>456</v>
      </c>
      <c r="J130" s="169">
        <v>11</v>
      </c>
      <c r="K130" s="169"/>
      <c r="L130" s="169"/>
      <c r="M130" s="169">
        <f>N130/6</f>
        <v>4</v>
      </c>
      <c r="N130" s="215">
        <v>24</v>
      </c>
      <c r="O130" s="1"/>
      <c r="Q130" s="18" t="str">
        <f t="shared" si="31"/>
        <v/>
      </c>
      <c r="R130" s="177"/>
      <c r="S130" s="177"/>
      <c r="T130" s="177"/>
      <c r="U130" s="177"/>
      <c r="V130" s="176"/>
      <c r="W130" s="176"/>
      <c r="X130" s="18" t="str">
        <f t="shared" si="31"/>
        <v/>
      </c>
      <c r="Y130" s="176"/>
      <c r="Z130" s="176"/>
      <c r="AA130" s="178" t="s">
        <v>183</v>
      </c>
      <c r="AB130" s="178"/>
      <c r="AC130" s="178"/>
      <c r="AD130" s="178"/>
      <c r="AE130" s="15"/>
    </row>
    <row r="131" spans="2:31" x14ac:dyDescent="0.35">
      <c r="B131" s="220" t="s">
        <v>466</v>
      </c>
      <c r="C131" s="168" t="s">
        <v>261</v>
      </c>
      <c r="D131" s="168" t="s">
        <v>186</v>
      </c>
      <c r="E131" s="168" t="s">
        <v>294</v>
      </c>
      <c r="F131" s="168"/>
      <c r="G131" s="168" t="s">
        <v>188</v>
      </c>
      <c r="H131" s="169" t="s">
        <v>189</v>
      </c>
      <c r="I131" s="169" t="s">
        <v>456</v>
      </c>
      <c r="J131" s="169">
        <v>11</v>
      </c>
      <c r="K131" s="169"/>
      <c r="L131" s="170"/>
      <c r="M131" s="169">
        <f>N131/6</f>
        <v>2</v>
      </c>
      <c r="N131" s="215">
        <v>12</v>
      </c>
      <c r="O131" s="1"/>
      <c r="Q131" s="18" t="str">
        <f t="shared" si="31"/>
        <v/>
      </c>
      <c r="R131" s="177"/>
      <c r="S131" s="177"/>
      <c r="T131" s="177"/>
      <c r="U131" s="177"/>
      <c r="V131" s="176"/>
      <c r="W131" s="176"/>
      <c r="X131" s="18" t="str">
        <f t="shared" si="31"/>
        <v/>
      </c>
      <c r="Y131" s="176"/>
      <c r="Z131" s="176"/>
      <c r="AA131" s="178" t="s">
        <v>183</v>
      </c>
      <c r="AB131" s="178"/>
      <c r="AC131" s="178"/>
      <c r="AD131" s="178"/>
      <c r="AE131" s="15"/>
    </row>
    <row r="132" spans="2:31" x14ac:dyDescent="0.35">
      <c r="B132" s="74" t="s">
        <v>467</v>
      </c>
      <c r="C132" s="2" t="s">
        <v>468</v>
      </c>
      <c r="D132" s="2" t="s">
        <v>193</v>
      </c>
      <c r="F132" s="2"/>
      <c r="G132" s="2" t="s">
        <v>203</v>
      </c>
      <c r="H132" s="16" t="s">
        <v>189</v>
      </c>
      <c r="I132" s="16" t="s">
        <v>456</v>
      </c>
      <c r="J132" s="16">
        <v>11</v>
      </c>
      <c r="K132" s="17">
        <v>46101</v>
      </c>
      <c r="L132" s="102"/>
      <c r="M132" s="4"/>
      <c r="N132" s="211"/>
      <c r="O132" s="1"/>
      <c r="Q132" s="18" t="str">
        <f t="shared" si="31"/>
        <v/>
      </c>
      <c r="R132" s="12" t="str">
        <f t="shared" si="31"/>
        <v/>
      </c>
      <c r="S132" s="12" t="str">
        <f t="shared" si="31"/>
        <v/>
      </c>
      <c r="T132" s="12" t="str">
        <f t="shared" si="31"/>
        <v/>
      </c>
      <c r="U132" s="12" t="str">
        <f t="shared" si="31"/>
        <v/>
      </c>
      <c r="V132" s="12" t="str">
        <f t="shared" si="31"/>
        <v/>
      </c>
      <c r="W132" s="12" t="str">
        <f t="shared" si="31"/>
        <v/>
      </c>
      <c r="X132" s="18" t="str">
        <f t="shared" si="31"/>
        <v/>
      </c>
      <c r="Y132" s="12" t="str">
        <f t="shared" si="31"/>
        <v/>
      </c>
      <c r="Z132" s="12" t="str">
        <f t="shared" si="31"/>
        <v/>
      </c>
      <c r="AA132" s="12" t="str">
        <f t="shared" si="31"/>
        <v>x</v>
      </c>
      <c r="AB132" s="12" t="str">
        <f t="shared" si="31"/>
        <v/>
      </c>
      <c r="AC132" s="12" t="str">
        <f t="shared" si="31"/>
        <v/>
      </c>
      <c r="AD132" s="12" t="str">
        <f t="shared" si="31"/>
        <v/>
      </c>
      <c r="AE132" s="18" t="str">
        <f t="shared" si="31"/>
        <v/>
      </c>
    </row>
    <row r="133" spans="2:31" x14ac:dyDescent="0.35">
      <c r="B133" s="74" t="s">
        <v>469</v>
      </c>
      <c r="C133" s="2" t="s">
        <v>470</v>
      </c>
      <c r="D133" s="2" t="s">
        <v>270</v>
      </c>
      <c r="F133" s="2"/>
      <c r="G133" s="2" t="s">
        <v>203</v>
      </c>
      <c r="H133" s="16" t="s">
        <v>189</v>
      </c>
      <c r="I133" s="16" t="s">
        <v>456</v>
      </c>
      <c r="J133" s="16">
        <v>11</v>
      </c>
      <c r="K133" s="17">
        <v>46101</v>
      </c>
      <c r="L133" s="102"/>
      <c r="M133" s="4"/>
      <c r="N133" s="211"/>
      <c r="O133" s="1"/>
      <c r="Q133" s="18" t="str">
        <f t="shared" si="31"/>
        <v/>
      </c>
      <c r="R133" s="12" t="str">
        <f t="shared" si="31"/>
        <v/>
      </c>
      <c r="S133" s="12" t="str">
        <f t="shared" si="31"/>
        <v/>
      </c>
      <c r="T133" s="12" t="str">
        <f t="shared" si="31"/>
        <v/>
      </c>
      <c r="U133" s="12" t="str">
        <f t="shared" si="31"/>
        <v/>
      </c>
      <c r="V133" s="12" t="str">
        <f t="shared" si="31"/>
        <v/>
      </c>
      <c r="W133" s="12" t="str">
        <f t="shared" si="31"/>
        <v/>
      </c>
      <c r="X133" s="18" t="str">
        <f t="shared" si="31"/>
        <v/>
      </c>
      <c r="Y133" s="12" t="str">
        <f t="shared" si="31"/>
        <v/>
      </c>
      <c r="Z133" s="12" t="str">
        <f t="shared" si="31"/>
        <v/>
      </c>
      <c r="AA133" s="12" t="str">
        <f t="shared" si="31"/>
        <v>x</v>
      </c>
      <c r="AB133" s="12" t="str">
        <f t="shared" si="31"/>
        <v/>
      </c>
      <c r="AC133" s="12" t="str">
        <f t="shared" si="31"/>
        <v/>
      </c>
      <c r="AD133" s="12" t="str">
        <f t="shared" si="31"/>
        <v/>
      </c>
      <c r="AE133" s="18" t="str">
        <f t="shared" si="31"/>
        <v/>
      </c>
    </row>
    <row r="134" spans="2:31" x14ac:dyDescent="0.35">
      <c r="B134" s="74" t="s">
        <v>471</v>
      </c>
      <c r="C134" s="2" t="s">
        <v>472</v>
      </c>
      <c r="D134" s="2" t="s">
        <v>270</v>
      </c>
      <c r="F134" s="2"/>
      <c r="G134" s="2" t="s">
        <v>203</v>
      </c>
      <c r="H134" s="16" t="s">
        <v>189</v>
      </c>
      <c r="I134" s="16" t="s">
        <v>456</v>
      </c>
      <c r="J134" s="16">
        <v>11</v>
      </c>
      <c r="K134" s="17">
        <v>46101</v>
      </c>
      <c r="L134" s="102"/>
      <c r="M134" s="4"/>
      <c r="N134" s="211"/>
      <c r="O134" s="1"/>
      <c r="Q134" s="18" t="str">
        <f t="shared" si="31"/>
        <v/>
      </c>
      <c r="R134" s="12" t="str">
        <f t="shared" si="31"/>
        <v/>
      </c>
      <c r="S134" s="12" t="str">
        <f t="shared" si="31"/>
        <v/>
      </c>
      <c r="T134" s="12" t="str">
        <f t="shared" si="31"/>
        <v/>
      </c>
      <c r="U134" s="12" t="str">
        <f t="shared" si="31"/>
        <v/>
      </c>
      <c r="V134" s="12" t="str">
        <f t="shared" si="31"/>
        <v/>
      </c>
      <c r="W134" s="12" t="str">
        <f t="shared" si="31"/>
        <v/>
      </c>
      <c r="X134" s="18" t="str">
        <f t="shared" si="31"/>
        <v/>
      </c>
      <c r="Y134" s="12" t="str">
        <f t="shared" si="31"/>
        <v/>
      </c>
      <c r="Z134" s="12" t="str">
        <f t="shared" si="31"/>
        <v/>
      </c>
      <c r="AA134" s="12" t="str">
        <f t="shared" si="31"/>
        <v>x</v>
      </c>
      <c r="AB134" s="12" t="str">
        <f t="shared" si="31"/>
        <v/>
      </c>
      <c r="AC134" s="12" t="str">
        <f t="shared" si="31"/>
        <v/>
      </c>
      <c r="AD134" s="12" t="str">
        <f t="shared" si="31"/>
        <v/>
      </c>
      <c r="AE134" s="18" t="str">
        <f t="shared" si="31"/>
        <v/>
      </c>
    </row>
    <row r="135" spans="2:31" x14ac:dyDescent="0.35">
      <c r="B135" s="74" t="s">
        <v>473</v>
      </c>
      <c r="C135" s="2" t="s">
        <v>474</v>
      </c>
      <c r="D135" s="2" t="s">
        <v>193</v>
      </c>
      <c r="F135" s="2"/>
      <c r="G135" s="2" t="s">
        <v>203</v>
      </c>
      <c r="H135" s="16" t="s">
        <v>189</v>
      </c>
      <c r="I135" s="16" t="s">
        <v>456</v>
      </c>
      <c r="J135" s="16">
        <v>11</v>
      </c>
      <c r="K135" s="17">
        <v>46108</v>
      </c>
      <c r="L135" s="102"/>
      <c r="M135" s="4"/>
      <c r="N135" s="211"/>
      <c r="O135" s="1"/>
      <c r="Q135" s="18" t="str">
        <f t="shared" si="31"/>
        <v/>
      </c>
      <c r="R135" s="12" t="str">
        <f t="shared" si="31"/>
        <v/>
      </c>
      <c r="S135" s="12" t="str">
        <f t="shared" si="31"/>
        <v/>
      </c>
      <c r="T135" s="12" t="str">
        <f t="shared" si="31"/>
        <v/>
      </c>
      <c r="U135" s="12" t="str">
        <f t="shared" si="31"/>
        <v/>
      </c>
      <c r="V135" s="12" t="str">
        <f t="shared" si="31"/>
        <v/>
      </c>
      <c r="W135" s="12" t="str">
        <f t="shared" si="31"/>
        <v/>
      </c>
      <c r="X135" s="18" t="str">
        <f t="shared" si="31"/>
        <v/>
      </c>
      <c r="Y135" s="12" t="str">
        <f t="shared" si="31"/>
        <v/>
      </c>
      <c r="Z135" s="12" t="str">
        <f t="shared" si="31"/>
        <v/>
      </c>
      <c r="AA135" s="12" t="str">
        <f t="shared" si="31"/>
        <v>x</v>
      </c>
      <c r="AB135" s="12" t="str">
        <f t="shared" si="31"/>
        <v/>
      </c>
      <c r="AC135" s="12" t="str">
        <f t="shared" si="31"/>
        <v/>
      </c>
      <c r="AD135" s="12" t="str">
        <f t="shared" si="31"/>
        <v/>
      </c>
      <c r="AE135" s="18" t="str">
        <f t="shared" si="31"/>
        <v/>
      </c>
    </row>
    <row r="136" spans="2:31" x14ac:dyDescent="0.35">
      <c r="B136" s="220" t="s">
        <v>475</v>
      </c>
      <c r="C136" s="168" t="s">
        <v>261</v>
      </c>
      <c r="D136" s="168" t="s">
        <v>186</v>
      </c>
      <c r="E136" s="168" t="s">
        <v>262</v>
      </c>
      <c r="F136" s="168"/>
      <c r="G136" s="168" t="s">
        <v>188</v>
      </c>
      <c r="H136" s="169" t="s">
        <v>189</v>
      </c>
      <c r="I136" s="169" t="s">
        <v>456</v>
      </c>
      <c r="J136" s="169">
        <v>11</v>
      </c>
      <c r="K136" s="169"/>
      <c r="L136" s="170"/>
      <c r="M136" s="169">
        <f>N136/6</f>
        <v>1</v>
      </c>
      <c r="N136" s="215">
        <v>6</v>
      </c>
      <c r="O136" s="1"/>
      <c r="Q136" s="18" t="str">
        <f t="shared" ref="Q136:AE145" si="32">IF($J136=Q$2,"x","")</f>
        <v/>
      </c>
      <c r="R136" s="177"/>
      <c r="S136" s="177"/>
      <c r="T136" s="177"/>
      <c r="U136" s="177"/>
      <c r="V136" s="176"/>
      <c r="W136" s="176"/>
      <c r="X136" s="18" t="str">
        <f t="shared" si="32"/>
        <v/>
      </c>
      <c r="Y136" s="176"/>
      <c r="Z136" s="176"/>
      <c r="AA136" s="178" t="s">
        <v>183</v>
      </c>
      <c r="AB136" s="178"/>
      <c r="AC136" s="178"/>
      <c r="AD136" s="178"/>
      <c r="AE136" s="15"/>
    </row>
    <row r="137" spans="2:31" x14ac:dyDescent="0.35">
      <c r="B137" s="74" t="s">
        <v>476</v>
      </c>
      <c r="C137" s="2" t="s">
        <v>477</v>
      </c>
      <c r="D137" s="2" t="s">
        <v>265</v>
      </c>
      <c r="F137" s="2"/>
      <c r="G137" s="2" t="s">
        <v>203</v>
      </c>
      <c r="H137" s="16" t="s">
        <v>189</v>
      </c>
      <c r="I137" s="16" t="s">
        <v>456</v>
      </c>
      <c r="J137" s="16">
        <v>11</v>
      </c>
      <c r="K137" s="17">
        <v>46101</v>
      </c>
      <c r="L137" s="102"/>
      <c r="M137" s="4"/>
      <c r="N137" s="211"/>
      <c r="O137" s="1"/>
      <c r="Q137" s="18" t="str">
        <f t="shared" si="32"/>
        <v/>
      </c>
      <c r="R137" s="12" t="str">
        <f t="shared" si="32"/>
        <v/>
      </c>
      <c r="S137" s="12" t="str">
        <f t="shared" si="32"/>
        <v/>
      </c>
      <c r="T137" s="12" t="str">
        <f t="shared" si="32"/>
        <v/>
      </c>
      <c r="U137" s="12" t="str">
        <f t="shared" si="32"/>
        <v/>
      </c>
      <c r="V137" s="12" t="str">
        <f t="shared" si="32"/>
        <v/>
      </c>
      <c r="W137" s="12" t="str">
        <f t="shared" si="32"/>
        <v/>
      </c>
      <c r="X137" s="18" t="str">
        <f t="shared" si="32"/>
        <v/>
      </c>
      <c r="Y137" s="12" t="str">
        <f t="shared" si="32"/>
        <v/>
      </c>
      <c r="Z137" s="12" t="str">
        <f t="shared" si="32"/>
        <v/>
      </c>
      <c r="AA137" s="12" t="str">
        <f t="shared" si="32"/>
        <v>x</v>
      </c>
      <c r="AB137" s="12" t="str">
        <f t="shared" si="32"/>
        <v/>
      </c>
      <c r="AC137" s="12" t="str">
        <f t="shared" si="32"/>
        <v/>
      </c>
      <c r="AD137" s="12" t="str">
        <f t="shared" si="32"/>
        <v/>
      </c>
      <c r="AE137" s="18" t="str">
        <f t="shared" si="32"/>
        <v/>
      </c>
    </row>
    <row r="138" spans="2:31" x14ac:dyDescent="0.35">
      <c r="B138" s="74" t="s">
        <v>478</v>
      </c>
      <c r="C138" s="2" t="s">
        <v>363</v>
      </c>
      <c r="D138" s="2" t="s">
        <v>265</v>
      </c>
      <c r="F138" s="2"/>
      <c r="G138" s="2" t="s">
        <v>203</v>
      </c>
      <c r="H138" s="16" t="s">
        <v>189</v>
      </c>
      <c r="I138" s="16" t="s">
        <v>456</v>
      </c>
      <c r="J138" s="16">
        <v>11</v>
      </c>
      <c r="K138" s="17">
        <v>46101</v>
      </c>
      <c r="L138" s="102"/>
      <c r="M138" s="4"/>
      <c r="N138" s="211"/>
      <c r="O138" s="1"/>
      <c r="Q138" s="18" t="str">
        <f t="shared" si="32"/>
        <v/>
      </c>
      <c r="R138" s="12" t="str">
        <f t="shared" si="32"/>
        <v/>
      </c>
      <c r="S138" s="12" t="str">
        <f t="shared" si="32"/>
        <v/>
      </c>
      <c r="T138" s="12" t="str">
        <f t="shared" si="32"/>
        <v/>
      </c>
      <c r="U138" s="12" t="str">
        <f t="shared" si="32"/>
        <v/>
      </c>
      <c r="V138" s="12" t="str">
        <f t="shared" si="32"/>
        <v/>
      </c>
      <c r="W138" s="12" t="str">
        <f t="shared" si="32"/>
        <v/>
      </c>
      <c r="X138" s="18" t="str">
        <f t="shared" si="32"/>
        <v/>
      </c>
      <c r="Y138" s="12" t="str">
        <f t="shared" si="32"/>
        <v/>
      </c>
      <c r="Z138" s="12" t="str">
        <f t="shared" si="32"/>
        <v/>
      </c>
      <c r="AA138" s="12" t="str">
        <f t="shared" si="32"/>
        <v>x</v>
      </c>
      <c r="AB138" s="12" t="str">
        <f t="shared" si="32"/>
        <v/>
      </c>
      <c r="AC138" s="12" t="str">
        <f t="shared" si="32"/>
        <v/>
      </c>
      <c r="AD138" s="12" t="str">
        <f t="shared" si="32"/>
        <v/>
      </c>
      <c r="AE138" s="18" t="str">
        <f t="shared" si="32"/>
        <v/>
      </c>
    </row>
    <row r="139" spans="2:31" x14ac:dyDescent="0.35">
      <c r="B139" s="217" t="s">
        <v>181</v>
      </c>
      <c r="C139" s="157" t="s">
        <v>479</v>
      </c>
      <c r="D139" s="158"/>
      <c r="E139" s="158"/>
      <c r="F139" s="158"/>
      <c r="G139" s="158"/>
      <c r="H139" s="158"/>
      <c r="I139" s="158"/>
      <c r="J139" s="159">
        <v>12</v>
      </c>
      <c r="K139" s="160"/>
      <c r="L139" s="161"/>
      <c r="M139" s="158"/>
      <c r="N139" s="209"/>
      <c r="O139" s="1"/>
      <c r="Q139" s="18" t="str">
        <f t="shared" ref="Q139:X139" si="33">IF($J139=Q$2,"x","")</f>
        <v/>
      </c>
      <c r="R139" s="177"/>
      <c r="S139" s="177"/>
      <c r="T139" s="177"/>
      <c r="U139" s="177"/>
      <c r="V139" s="176"/>
      <c r="W139" s="176"/>
      <c r="X139" s="18" t="str">
        <f t="shared" si="33"/>
        <v/>
      </c>
      <c r="Y139" s="176"/>
      <c r="Z139" s="176"/>
      <c r="AA139" s="178"/>
      <c r="AB139" s="178" t="s">
        <v>183</v>
      </c>
      <c r="AC139" s="178"/>
      <c r="AD139" s="178"/>
      <c r="AE139" s="15"/>
    </row>
    <row r="140" spans="2:31" x14ac:dyDescent="0.35">
      <c r="B140" s="220" t="s">
        <v>480</v>
      </c>
      <c r="C140" s="168" t="s">
        <v>283</v>
      </c>
      <c r="D140" s="168" t="s">
        <v>186</v>
      </c>
      <c r="E140" s="168" t="s">
        <v>187</v>
      </c>
      <c r="F140" s="168"/>
      <c r="G140" s="168" t="s">
        <v>188</v>
      </c>
      <c r="H140" s="169" t="s">
        <v>189</v>
      </c>
      <c r="I140" s="169" t="s">
        <v>456</v>
      </c>
      <c r="J140" s="169">
        <v>12</v>
      </c>
      <c r="K140" s="169"/>
      <c r="L140" s="169"/>
      <c r="M140" s="169">
        <f>N140/6</f>
        <v>4</v>
      </c>
      <c r="N140" s="215">
        <v>24</v>
      </c>
      <c r="O140" s="1"/>
      <c r="Q140" s="18" t="str">
        <f t="shared" si="32"/>
        <v/>
      </c>
      <c r="R140" s="177"/>
      <c r="S140" s="177"/>
      <c r="T140" s="177"/>
      <c r="U140" s="177"/>
      <c r="V140" s="176"/>
      <c r="W140" s="176"/>
      <c r="X140" s="18" t="str">
        <f t="shared" si="32"/>
        <v/>
      </c>
      <c r="Y140" s="176"/>
      <c r="Z140" s="176"/>
      <c r="AA140" s="178"/>
      <c r="AB140" s="178" t="s">
        <v>183</v>
      </c>
      <c r="AC140" s="178"/>
      <c r="AD140" s="178"/>
      <c r="AE140" s="15"/>
    </row>
    <row r="141" spans="2:31" x14ac:dyDescent="0.35">
      <c r="B141" s="74" t="s">
        <v>481</v>
      </c>
      <c r="C141" s="2" t="s">
        <v>482</v>
      </c>
      <c r="D141" s="2" t="s">
        <v>193</v>
      </c>
      <c r="F141" s="2"/>
      <c r="G141" s="2" t="s">
        <v>203</v>
      </c>
      <c r="H141" s="16" t="s">
        <v>189</v>
      </c>
      <c r="I141" s="16" t="s">
        <v>456</v>
      </c>
      <c r="J141" s="16">
        <v>12</v>
      </c>
      <c r="K141" s="17">
        <v>46108</v>
      </c>
      <c r="L141" s="102"/>
      <c r="M141" s="4"/>
      <c r="N141" s="211"/>
      <c r="O141" s="1"/>
      <c r="Q141" s="18" t="str">
        <f t="shared" si="32"/>
        <v/>
      </c>
      <c r="R141" s="12" t="str">
        <f t="shared" si="32"/>
        <v/>
      </c>
      <c r="S141" s="12" t="str">
        <f t="shared" si="32"/>
        <v/>
      </c>
      <c r="T141" s="12" t="str">
        <f t="shared" si="32"/>
        <v/>
      </c>
      <c r="U141" s="12" t="str">
        <f t="shared" si="32"/>
        <v/>
      </c>
      <c r="V141" s="12" t="str">
        <f t="shared" si="32"/>
        <v/>
      </c>
      <c r="W141" s="12" t="str">
        <f t="shared" si="32"/>
        <v/>
      </c>
      <c r="X141" s="18" t="str">
        <f t="shared" si="32"/>
        <v/>
      </c>
      <c r="Y141" s="12" t="str">
        <f t="shared" si="32"/>
        <v/>
      </c>
      <c r="Z141" s="12" t="str">
        <f t="shared" si="32"/>
        <v/>
      </c>
      <c r="AA141" s="12" t="str">
        <f t="shared" si="32"/>
        <v/>
      </c>
      <c r="AB141" s="12" t="str">
        <f t="shared" si="32"/>
        <v>x</v>
      </c>
      <c r="AC141" s="12" t="str">
        <f t="shared" si="32"/>
        <v/>
      </c>
      <c r="AD141" s="12" t="str">
        <f t="shared" si="32"/>
        <v/>
      </c>
      <c r="AE141" s="18" t="str">
        <f t="shared" si="32"/>
        <v/>
      </c>
    </row>
    <row r="142" spans="2:31" x14ac:dyDescent="0.35">
      <c r="B142" s="74" t="s">
        <v>483</v>
      </c>
      <c r="C142" s="2" t="s">
        <v>484</v>
      </c>
      <c r="D142" s="2" t="s">
        <v>193</v>
      </c>
      <c r="F142" s="2"/>
      <c r="G142" s="2" t="s">
        <v>203</v>
      </c>
      <c r="H142" s="16" t="s">
        <v>189</v>
      </c>
      <c r="I142" s="16" t="s">
        <v>456</v>
      </c>
      <c r="J142" s="16">
        <v>12</v>
      </c>
      <c r="K142" s="17">
        <v>46108</v>
      </c>
      <c r="L142" s="102"/>
      <c r="M142" s="4"/>
      <c r="N142" s="211"/>
      <c r="O142" s="1"/>
      <c r="Q142" s="18" t="str">
        <f t="shared" si="32"/>
        <v/>
      </c>
      <c r="R142" s="12" t="str">
        <f t="shared" si="32"/>
        <v/>
      </c>
      <c r="S142" s="12" t="str">
        <f t="shared" si="32"/>
        <v/>
      </c>
      <c r="T142" s="12" t="str">
        <f t="shared" si="32"/>
        <v/>
      </c>
      <c r="U142" s="12" t="str">
        <f t="shared" si="32"/>
        <v/>
      </c>
      <c r="V142" s="12" t="str">
        <f t="shared" si="32"/>
        <v/>
      </c>
      <c r="W142" s="12" t="str">
        <f t="shared" si="32"/>
        <v/>
      </c>
      <c r="X142" s="18" t="str">
        <f t="shared" si="32"/>
        <v/>
      </c>
      <c r="Y142" s="12" t="str">
        <f t="shared" si="32"/>
        <v/>
      </c>
      <c r="Z142" s="12" t="str">
        <f t="shared" si="32"/>
        <v/>
      </c>
      <c r="AA142" s="12" t="str">
        <f t="shared" si="32"/>
        <v/>
      </c>
      <c r="AB142" s="12" t="str">
        <f t="shared" si="32"/>
        <v>x</v>
      </c>
      <c r="AC142" s="12" t="str">
        <f t="shared" si="32"/>
        <v/>
      </c>
      <c r="AD142" s="12" t="str">
        <f t="shared" si="32"/>
        <v/>
      </c>
      <c r="AE142" s="18" t="str">
        <f t="shared" si="32"/>
        <v/>
      </c>
    </row>
    <row r="143" spans="2:31" x14ac:dyDescent="0.35">
      <c r="B143" s="220" t="s">
        <v>485</v>
      </c>
      <c r="C143" s="168" t="s">
        <v>261</v>
      </c>
      <c r="D143" s="168" t="s">
        <v>186</v>
      </c>
      <c r="E143" s="168" t="s">
        <v>294</v>
      </c>
      <c r="F143" s="168"/>
      <c r="G143" s="168" t="s">
        <v>188</v>
      </c>
      <c r="H143" s="169" t="s">
        <v>189</v>
      </c>
      <c r="I143" s="169" t="s">
        <v>456</v>
      </c>
      <c r="J143" s="169">
        <v>12</v>
      </c>
      <c r="K143" s="169"/>
      <c r="L143" s="170"/>
      <c r="M143" s="169">
        <f>N143/6</f>
        <v>1</v>
      </c>
      <c r="N143" s="215">
        <v>6</v>
      </c>
      <c r="O143" s="1"/>
      <c r="Q143" s="18" t="str">
        <f t="shared" si="32"/>
        <v/>
      </c>
      <c r="R143" s="177"/>
      <c r="S143" s="177"/>
      <c r="T143" s="177"/>
      <c r="U143" s="177"/>
      <c r="V143" s="176"/>
      <c r="W143" s="176"/>
      <c r="X143" s="18" t="str">
        <f t="shared" si="32"/>
        <v/>
      </c>
      <c r="Y143" s="176"/>
      <c r="Z143" s="176"/>
      <c r="AA143" s="178"/>
      <c r="AB143" s="178" t="s">
        <v>183</v>
      </c>
      <c r="AC143" s="178"/>
      <c r="AD143" s="178"/>
      <c r="AE143" s="15"/>
    </row>
    <row r="144" spans="2:31" x14ac:dyDescent="0.35">
      <c r="B144" s="74" t="s">
        <v>486</v>
      </c>
      <c r="C144" s="2" t="s">
        <v>487</v>
      </c>
      <c r="D144" s="2" t="s">
        <v>270</v>
      </c>
      <c r="F144" s="2"/>
      <c r="G144" s="2" t="s">
        <v>203</v>
      </c>
      <c r="H144" s="16" t="s">
        <v>189</v>
      </c>
      <c r="I144" s="16" t="s">
        <v>456</v>
      </c>
      <c r="J144" s="16">
        <v>12</v>
      </c>
      <c r="K144" s="17">
        <v>46108</v>
      </c>
      <c r="L144" s="102"/>
      <c r="M144" s="4"/>
      <c r="N144" s="211"/>
      <c r="O144" s="1"/>
      <c r="Q144" s="18" t="str">
        <f t="shared" si="32"/>
        <v/>
      </c>
      <c r="R144" s="12" t="str">
        <f t="shared" si="32"/>
        <v/>
      </c>
      <c r="S144" s="12" t="str">
        <f t="shared" si="32"/>
        <v/>
      </c>
      <c r="T144" s="12" t="str">
        <f t="shared" si="32"/>
        <v/>
      </c>
      <c r="U144" s="12" t="str">
        <f t="shared" si="32"/>
        <v/>
      </c>
      <c r="V144" s="12" t="str">
        <f t="shared" si="32"/>
        <v/>
      </c>
      <c r="W144" s="12" t="str">
        <f t="shared" si="32"/>
        <v/>
      </c>
      <c r="X144" s="18" t="str">
        <f t="shared" si="32"/>
        <v/>
      </c>
      <c r="Y144" s="12" t="str">
        <f t="shared" si="32"/>
        <v/>
      </c>
      <c r="Z144" s="12" t="str">
        <f t="shared" si="32"/>
        <v/>
      </c>
      <c r="AA144" s="12" t="str">
        <f t="shared" si="32"/>
        <v/>
      </c>
      <c r="AB144" s="12" t="str">
        <f t="shared" si="32"/>
        <v>x</v>
      </c>
      <c r="AC144" s="12" t="str">
        <f t="shared" si="32"/>
        <v/>
      </c>
      <c r="AD144" s="12" t="str">
        <f t="shared" si="32"/>
        <v/>
      </c>
      <c r="AE144" s="18" t="str">
        <f t="shared" si="32"/>
        <v/>
      </c>
    </row>
    <row r="145" spans="1:31" x14ac:dyDescent="0.35">
      <c r="B145" s="74" t="s">
        <v>488</v>
      </c>
      <c r="C145" s="2" t="s">
        <v>489</v>
      </c>
      <c r="D145" s="2" t="s">
        <v>270</v>
      </c>
      <c r="F145" s="2"/>
      <c r="G145" s="2" t="s">
        <v>203</v>
      </c>
      <c r="H145" s="16" t="s">
        <v>189</v>
      </c>
      <c r="I145" s="16" t="s">
        <v>456</v>
      </c>
      <c r="J145" s="16">
        <v>12</v>
      </c>
      <c r="K145" s="17">
        <v>46108</v>
      </c>
      <c r="L145" s="102"/>
      <c r="M145" s="4"/>
      <c r="N145" s="211"/>
      <c r="O145" s="1"/>
      <c r="Q145" s="18" t="str">
        <f t="shared" si="32"/>
        <v/>
      </c>
      <c r="R145" s="12" t="str">
        <f t="shared" si="32"/>
        <v/>
      </c>
      <c r="S145" s="12" t="str">
        <f t="shared" si="32"/>
        <v/>
      </c>
      <c r="T145" s="12" t="str">
        <f t="shared" si="32"/>
        <v/>
      </c>
      <c r="U145" s="12" t="str">
        <f t="shared" si="32"/>
        <v/>
      </c>
      <c r="V145" s="12" t="str">
        <f t="shared" si="32"/>
        <v/>
      </c>
      <c r="W145" s="12" t="str">
        <f t="shared" si="32"/>
        <v/>
      </c>
      <c r="X145" s="18" t="str">
        <f t="shared" si="32"/>
        <v/>
      </c>
      <c r="Y145" s="12" t="str">
        <f t="shared" si="32"/>
        <v/>
      </c>
      <c r="Z145" s="12" t="str">
        <f t="shared" ref="Z145:AE145" si="34">IF($J145=Z$2,"x","")</f>
        <v/>
      </c>
      <c r="AA145" s="12" t="str">
        <f t="shared" si="34"/>
        <v/>
      </c>
      <c r="AB145" s="12" t="str">
        <f t="shared" si="34"/>
        <v>x</v>
      </c>
      <c r="AC145" s="12" t="str">
        <f t="shared" si="34"/>
        <v/>
      </c>
      <c r="AD145" s="12" t="str">
        <f t="shared" si="34"/>
        <v/>
      </c>
      <c r="AE145" s="18" t="str">
        <f t="shared" si="34"/>
        <v/>
      </c>
    </row>
    <row r="146" spans="1:31" x14ac:dyDescent="0.35">
      <c r="B146" s="74" t="s">
        <v>490</v>
      </c>
      <c r="C146" s="2" t="s">
        <v>491</v>
      </c>
      <c r="D146" s="2" t="s">
        <v>270</v>
      </c>
      <c r="F146" s="2"/>
      <c r="G146" s="2" t="s">
        <v>203</v>
      </c>
      <c r="H146" s="16" t="s">
        <v>189</v>
      </c>
      <c r="I146" s="16" t="s">
        <v>456</v>
      </c>
      <c r="J146" s="16">
        <v>12</v>
      </c>
      <c r="K146" s="17">
        <v>46108</v>
      </c>
      <c r="L146" s="102"/>
      <c r="M146" s="4"/>
      <c r="N146" s="211"/>
      <c r="O146" s="1"/>
      <c r="Q146" s="18" t="str">
        <f t="shared" ref="Q146:AE147" si="35">IF($J146=Q$2,"x","")</f>
        <v/>
      </c>
      <c r="R146" s="12" t="str">
        <f t="shared" si="35"/>
        <v/>
      </c>
      <c r="S146" s="12" t="str">
        <f t="shared" si="35"/>
        <v/>
      </c>
      <c r="T146" s="12" t="str">
        <f t="shared" si="35"/>
        <v/>
      </c>
      <c r="U146" s="12" t="str">
        <f t="shared" si="35"/>
        <v/>
      </c>
      <c r="V146" s="12" t="str">
        <f t="shared" si="35"/>
        <v/>
      </c>
      <c r="W146" s="12" t="str">
        <f t="shared" si="35"/>
        <v/>
      </c>
      <c r="X146" s="18" t="str">
        <f t="shared" si="35"/>
        <v/>
      </c>
      <c r="Y146" s="12" t="str">
        <f t="shared" si="35"/>
        <v/>
      </c>
      <c r="Z146" s="12" t="str">
        <f t="shared" si="35"/>
        <v/>
      </c>
      <c r="AA146" s="12" t="str">
        <f t="shared" si="35"/>
        <v/>
      </c>
      <c r="AB146" s="12" t="str">
        <f t="shared" si="35"/>
        <v>x</v>
      </c>
      <c r="AC146" s="12" t="str">
        <f t="shared" si="35"/>
        <v/>
      </c>
      <c r="AD146" s="12" t="str">
        <f t="shared" si="35"/>
        <v/>
      </c>
      <c r="AE146" s="18" t="str">
        <f t="shared" si="35"/>
        <v/>
      </c>
    </row>
    <row r="147" spans="1:31" x14ac:dyDescent="0.35">
      <c r="B147" s="74" t="s">
        <v>492</v>
      </c>
      <c r="C147" s="2" t="s">
        <v>493</v>
      </c>
      <c r="D147" s="2" t="s">
        <v>270</v>
      </c>
      <c r="F147" s="2"/>
      <c r="G147" s="2" t="s">
        <v>203</v>
      </c>
      <c r="H147" s="16" t="s">
        <v>189</v>
      </c>
      <c r="I147" s="16" t="s">
        <v>456</v>
      </c>
      <c r="J147" s="16">
        <v>12</v>
      </c>
      <c r="K147" s="17">
        <v>46108</v>
      </c>
      <c r="L147" s="102"/>
      <c r="M147" s="4"/>
      <c r="N147" s="211"/>
      <c r="O147" s="1"/>
      <c r="Q147" s="18" t="str">
        <f t="shared" si="35"/>
        <v/>
      </c>
      <c r="R147" s="12" t="str">
        <f t="shared" si="35"/>
        <v/>
      </c>
      <c r="S147" s="12" t="str">
        <f t="shared" si="35"/>
        <v/>
      </c>
      <c r="T147" s="12" t="str">
        <f t="shared" si="35"/>
        <v/>
      </c>
      <c r="U147" s="12" t="str">
        <f t="shared" si="35"/>
        <v/>
      </c>
      <c r="V147" s="12" t="str">
        <f t="shared" si="35"/>
        <v/>
      </c>
      <c r="W147" s="12" t="str">
        <f t="shared" si="35"/>
        <v/>
      </c>
      <c r="X147" s="18" t="str">
        <f t="shared" si="35"/>
        <v/>
      </c>
      <c r="Y147" s="12" t="str">
        <f t="shared" si="35"/>
        <v/>
      </c>
      <c r="Z147" s="12" t="str">
        <f t="shared" si="35"/>
        <v/>
      </c>
      <c r="AA147" s="12" t="str">
        <f t="shared" si="35"/>
        <v/>
      </c>
      <c r="AB147" s="12" t="str">
        <f t="shared" si="35"/>
        <v>x</v>
      </c>
      <c r="AC147" s="12" t="str">
        <f t="shared" si="35"/>
        <v/>
      </c>
      <c r="AD147" s="12" t="str">
        <f t="shared" si="35"/>
        <v/>
      </c>
      <c r="AE147" s="18" t="str">
        <f t="shared" si="35"/>
        <v/>
      </c>
    </row>
    <row r="148" spans="1:31" x14ac:dyDescent="0.35">
      <c r="B148" s="220" t="s">
        <v>494</v>
      </c>
      <c r="C148" s="168" t="s">
        <v>261</v>
      </c>
      <c r="D148" s="168" t="s">
        <v>186</v>
      </c>
      <c r="E148" s="168" t="s">
        <v>262</v>
      </c>
      <c r="F148" s="168"/>
      <c r="G148" s="168" t="s">
        <v>188</v>
      </c>
      <c r="H148" s="169" t="s">
        <v>189</v>
      </c>
      <c r="I148" s="169" t="s">
        <v>456</v>
      </c>
      <c r="J148" s="169">
        <v>12</v>
      </c>
      <c r="K148" s="169"/>
      <c r="L148" s="170"/>
      <c r="M148" s="169">
        <f>N148/6</f>
        <v>2</v>
      </c>
      <c r="N148" s="215">
        <v>12</v>
      </c>
      <c r="O148" s="1"/>
      <c r="Q148" s="18" t="str">
        <f t="shared" ref="Q148:AE150" si="36">IF($J148=Q$2,"x","")</f>
        <v/>
      </c>
      <c r="R148" s="177"/>
      <c r="S148" s="177"/>
      <c r="T148" s="177"/>
      <c r="U148" s="177"/>
      <c r="V148" s="176"/>
      <c r="W148" s="176"/>
      <c r="X148" s="18" t="str">
        <f t="shared" ref="X148" si="37">IF($J148=X$2,"x","")</f>
        <v/>
      </c>
      <c r="Y148" s="176"/>
      <c r="Z148" s="176"/>
      <c r="AA148" s="178"/>
      <c r="AB148" s="178" t="s">
        <v>183</v>
      </c>
      <c r="AC148" s="178"/>
      <c r="AD148" s="178"/>
      <c r="AE148" s="15"/>
    </row>
    <row r="149" spans="1:31" x14ac:dyDescent="0.35">
      <c r="A149" s="2"/>
      <c r="B149" s="74" t="s">
        <v>495</v>
      </c>
      <c r="C149" s="2" t="s">
        <v>359</v>
      </c>
      <c r="D149" s="2" t="s">
        <v>265</v>
      </c>
      <c r="F149" s="2"/>
      <c r="G149" s="2" t="s">
        <v>203</v>
      </c>
      <c r="H149" s="16" t="s">
        <v>189</v>
      </c>
      <c r="I149" s="16" t="s">
        <v>456</v>
      </c>
      <c r="J149" s="16">
        <v>12</v>
      </c>
      <c r="K149" s="17">
        <v>46108</v>
      </c>
      <c r="L149" s="102"/>
      <c r="M149" s="4"/>
      <c r="N149" s="211"/>
      <c r="O149" s="1"/>
      <c r="Q149" s="18" t="str">
        <f t="shared" si="36"/>
        <v/>
      </c>
      <c r="R149" s="12" t="str">
        <f t="shared" si="36"/>
        <v/>
      </c>
      <c r="S149" s="12" t="str">
        <f t="shared" si="36"/>
        <v/>
      </c>
      <c r="T149" s="12" t="str">
        <f t="shared" si="36"/>
        <v/>
      </c>
      <c r="U149" s="12" t="str">
        <f t="shared" si="36"/>
        <v/>
      </c>
      <c r="V149" s="12" t="str">
        <f t="shared" si="36"/>
        <v/>
      </c>
      <c r="W149" s="12" t="str">
        <f t="shared" si="36"/>
        <v/>
      </c>
      <c r="X149" s="18" t="str">
        <f t="shared" si="36"/>
        <v/>
      </c>
      <c r="Y149" s="12" t="str">
        <f t="shared" si="36"/>
        <v/>
      </c>
      <c r="Z149" s="12" t="str">
        <f t="shared" si="36"/>
        <v/>
      </c>
      <c r="AA149" s="12" t="str">
        <f t="shared" si="36"/>
        <v/>
      </c>
      <c r="AB149" s="12" t="str">
        <f t="shared" si="36"/>
        <v>x</v>
      </c>
      <c r="AC149" s="12" t="str">
        <f t="shared" si="36"/>
        <v/>
      </c>
      <c r="AD149" s="12" t="str">
        <f t="shared" si="36"/>
        <v/>
      </c>
      <c r="AE149" s="18" t="str">
        <f t="shared" si="36"/>
        <v/>
      </c>
    </row>
    <row r="150" spans="1:31" x14ac:dyDescent="0.35">
      <c r="A150" s="2"/>
      <c r="B150" s="74" t="s">
        <v>496</v>
      </c>
      <c r="C150" s="2" t="s">
        <v>363</v>
      </c>
      <c r="D150" s="2" t="s">
        <v>265</v>
      </c>
      <c r="F150" s="2"/>
      <c r="G150" s="2" t="s">
        <v>203</v>
      </c>
      <c r="H150" s="16" t="s">
        <v>189</v>
      </c>
      <c r="I150" s="16" t="s">
        <v>456</v>
      </c>
      <c r="J150" s="16">
        <v>12</v>
      </c>
      <c r="K150" s="17">
        <v>46108</v>
      </c>
      <c r="L150" s="102"/>
      <c r="M150" s="4"/>
      <c r="N150" s="211"/>
      <c r="O150" s="1"/>
      <c r="Q150" s="18" t="str">
        <f t="shared" si="36"/>
        <v/>
      </c>
      <c r="R150" s="12" t="str">
        <f t="shared" si="36"/>
        <v/>
      </c>
      <c r="S150" s="12" t="str">
        <f t="shared" si="36"/>
        <v/>
      </c>
      <c r="T150" s="12" t="str">
        <f t="shared" si="36"/>
        <v/>
      </c>
      <c r="U150" s="12" t="str">
        <f t="shared" si="36"/>
        <v/>
      </c>
      <c r="V150" s="12" t="str">
        <f t="shared" si="36"/>
        <v/>
      </c>
      <c r="W150" s="12" t="str">
        <f t="shared" si="36"/>
        <v/>
      </c>
      <c r="X150" s="18" t="str">
        <f t="shared" si="36"/>
        <v/>
      </c>
      <c r="Y150" s="12" t="str">
        <f t="shared" si="36"/>
        <v/>
      </c>
      <c r="Z150" s="12" t="str">
        <f t="shared" si="36"/>
        <v/>
      </c>
      <c r="AA150" s="12" t="str">
        <f t="shared" si="36"/>
        <v/>
      </c>
      <c r="AB150" s="12" t="str">
        <f t="shared" si="36"/>
        <v>x</v>
      </c>
      <c r="AC150" s="12" t="str">
        <f t="shared" si="36"/>
        <v/>
      </c>
      <c r="AD150" s="12" t="str">
        <f t="shared" si="36"/>
        <v/>
      </c>
      <c r="AE150" s="18" t="str">
        <f t="shared" si="36"/>
        <v/>
      </c>
    </row>
    <row r="151" spans="1:31" x14ac:dyDescent="0.35">
      <c r="A151" s="2"/>
      <c r="B151" s="220" t="s">
        <v>497</v>
      </c>
      <c r="C151" s="168" t="s">
        <v>445</v>
      </c>
      <c r="D151" s="168" t="s">
        <v>186</v>
      </c>
      <c r="E151" s="168" t="s">
        <v>304</v>
      </c>
      <c r="F151" s="168" t="s">
        <v>498</v>
      </c>
      <c r="G151" s="168" t="s">
        <v>499</v>
      </c>
      <c r="H151" s="169" t="s">
        <v>218</v>
      </c>
      <c r="I151" s="169" t="s">
        <v>456</v>
      </c>
      <c r="J151" s="169">
        <v>12</v>
      </c>
      <c r="K151" s="169"/>
      <c r="L151" s="170"/>
      <c r="M151" s="169">
        <f>N151/6</f>
        <v>2</v>
      </c>
      <c r="N151" s="215">
        <v>12</v>
      </c>
      <c r="O151" s="1"/>
      <c r="Q151" s="18" t="str">
        <f t="shared" ref="Q151:AE161" si="38">IF($J151=Q$2,"x","")</f>
        <v/>
      </c>
      <c r="R151" s="177"/>
      <c r="S151" s="177"/>
      <c r="T151" s="177"/>
      <c r="U151" s="177"/>
      <c r="V151" s="176"/>
      <c r="W151" s="176"/>
      <c r="X151" s="18" t="str">
        <f t="shared" ref="X151" si="39">IF($J151=X$2,"x","")</f>
        <v/>
      </c>
      <c r="Y151" s="176"/>
      <c r="Z151" s="176"/>
      <c r="AA151" s="178"/>
      <c r="AB151" s="178" t="s">
        <v>183</v>
      </c>
      <c r="AC151" s="178"/>
      <c r="AD151" s="178"/>
      <c r="AE151" s="15"/>
    </row>
    <row r="152" spans="1:31" x14ac:dyDescent="0.35">
      <c r="A152" s="2"/>
      <c r="B152" s="74" t="s">
        <v>500</v>
      </c>
      <c r="C152" s="2" t="s">
        <v>501</v>
      </c>
      <c r="D152" s="2" t="s">
        <v>241</v>
      </c>
      <c r="F152" s="2"/>
      <c r="G152" s="2"/>
      <c r="H152" s="16" t="s">
        <v>218</v>
      </c>
      <c r="I152" s="16" t="s">
        <v>456</v>
      </c>
      <c r="J152" s="16">
        <v>12</v>
      </c>
      <c r="K152" s="17">
        <v>46108</v>
      </c>
      <c r="L152" s="102"/>
      <c r="M152" s="4"/>
      <c r="N152" s="211"/>
      <c r="O152" s="1"/>
      <c r="Q152" s="18" t="str">
        <f t="shared" si="38"/>
        <v/>
      </c>
      <c r="R152" s="12" t="str">
        <f t="shared" si="38"/>
        <v/>
      </c>
      <c r="S152" s="12" t="str">
        <f t="shared" si="38"/>
        <v/>
      </c>
      <c r="T152" s="12" t="str">
        <f t="shared" si="38"/>
        <v/>
      </c>
      <c r="U152" s="12" t="str">
        <f t="shared" si="38"/>
        <v/>
      </c>
      <c r="V152" s="12" t="str">
        <f t="shared" si="38"/>
        <v/>
      </c>
      <c r="W152" s="12" t="str">
        <f t="shared" si="38"/>
        <v/>
      </c>
      <c r="X152" s="18" t="str">
        <f t="shared" si="38"/>
        <v/>
      </c>
      <c r="Y152" s="12" t="str">
        <f t="shared" si="38"/>
        <v/>
      </c>
      <c r="Z152" s="12" t="str">
        <f t="shared" si="38"/>
        <v/>
      </c>
      <c r="AA152" s="12" t="str">
        <f t="shared" si="38"/>
        <v/>
      </c>
      <c r="AB152" s="12" t="str">
        <f t="shared" si="38"/>
        <v>x</v>
      </c>
      <c r="AC152" s="12" t="str">
        <f t="shared" si="38"/>
        <v/>
      </c>
      <c r="AD152" s="12" t="str">
        <f t="shared" si="38"/>
        <v/>
      </c>
      <c r="AE152" s="18" t="str">
        <f t="shared" si="38"/>
        <v/>
      </c>
    </row>
    <row r="153" spans="1:31" x14ac:dyDescent="0.35">
      <c r="B153" s="74" t="s">
        <v>502</v>
      </c>
      <c r="C153" s="2" t="s">
        <v>503</v>
      </c>
      <c r="D153" s="2" t="s">
        <v>202</v>
      </c>
      <c r="F153" s="2"/>
      <c r="G153" s="2"/>
      <c r="H153" s="16" t="s">
        <v>218</v>
      </c>
      <c r="I153" s="16" t="s">
        <v>456</v>
      </c>
      <c r="J153" s="16">
        <v>12</v>
      </c>
      <c r="K153" s="17">
        <v>46108</v>
      </c>
      <c r="L153" s="102"/>
      <c r="M153" s="4"/>
      <c r="N153" s="211"/>
      <c r="O153" s="1"/>
      <c r="Q153" s="18" t="str">
        <f t="shared" si="38"/>
        <v/>
      </c>
      <c r="R153" s="12" t="str">
        <f t="shared" si="38"/>
        <v/>
      </c>
      <c r="S153" s="12" t="str">
        <f t="shared" si="38"/>
        <v/>
      </c>
      <c r="T153" s="12" t="str">
        <f t="shared" si="38"/>
        <v/>
      </c>
      <c r="U153" s="12" t="str">
        <f t="shared" si="38"/>
        <v/>
      </c>
      <c r="V153" s="12" t="str">
        <f t="shared" si="38"/>
        <v/>
      </c>
      <c r="W153" s="12" t="str">
        <f t="shared" si="38"/>
        <v/>
      </c>
      <c r="X153" s="18" t="str">
        <f t="shared" si="38"/>
        <v/>
      </c>
      <c r="Y153" s="12" t="str">
        <f t="shared" si="38"/>
        <v/>
      </c>
      <c r="Z153" s="12" t="str">
        <f t="shared" si="38"/>
        <v/>
      </c>
      <c r="AA153" s="12" t="str">
        <f t="shared" si="38"/>
        <v/>
      </c>
      <c r="AB153" s="12" t="str">
        <f t="shared" si="38"/>
        <v>x</v>
      </c>
      <c r="AC153" s="12" t="str">
        <f t="shared" si="38"/>
        <v/>
      </c>
      <c r="AD153" s="12" t="str">
        <f t="shared" si="38"/>
        <v/>
      </c>
      <c r="AE153" s="18" t="str">
        <f t="shared" si="38"/>
        <v/>
      </c>
    </row>
    <row r="154" spans="1:31" x14ac:dyDescent="0.35">
      <c r="B154" s="74" t="s">
        <v>504</v>
      </c>
      <c r="C154" s="2" t="s">
        <v>505</v>
      </c>
      <c r="D154" s="2" t="s">
        <v>202</v>
      </c>
      <c r="F154" s="2"/>
      <c r="G154" s="2"/>
      <c r="H154" s="16" t="s">
        <v>218</v>
      </c>
      <c r="I154" s="16" t="s">
        <v>456</v>
      </c>
      <c r="J154" s="16">
        <v>12</v>
      </c>
      <c r="K154" s="17">
        <v>46108</v>
      </c>
      <c r="L154" s="102"/>
      <c r="M154" s="4"/>
      <c r="N154" s="211"/>
      <c r="O154" s="1"/>
      <c r="Q154" s="18" t="str">
        <f t="shared" si="38"/>
        <v/>
      </c>
      <c r="R154" s="12" t="str">
        <f t="shared" si="38"/>
        <v/>
      </c>
      <c r="S154" s="12" t="str">
        <f t="shared" si="38"/>
        <v/>
      </c>
      <c r="T154" s="12" t="str">
        <f t="shared" si="38"/>
        <v/>
      </c>
      <c r="U154" s="12" t="str">
        <f t="shared" si="38"/>
        <v/>
      </c>
      <c r="V154" s="12" t="str">
        <f t="shared" si="38"/>
        <v/>
      </c>
      <c r="W154" s="12" t="str">
        <f t="shared" si="38"/>
        <v/>
      </c>
      <c r="X154" s="18" t="str">
        <f t="shared" si="38"/>
        <v/>
      </c>
      <c r="Y154" s="12" t="str">
        <f t="shared" si="38"/>
        <v/>
      </c>
      <c r="Z154" s="12" t="str">
        <f t="shared" si="38"/>
        <v/>
      </c>
      <c r="AA154" s="12" t="str">
        <f t="shared" si="38"/>
        <v/>
      </c>
      <c r="AB154" s="12" t="str">
        <f t="shared" si="38"/>
        <v>x</v>
      </c>
      <c r="AC154" s="12" t="str">
        <f t="shared" si="38"/>
        <v/>
      </c>
      <c r="AD154" s="12" t="str">
        <f t="shared" si="38"/>
        <v/>
      </c>
      <c r="AE154" s="18" t="str">
        <f t="shared" si="38"/>
        <v/>
      </c>
    </row>
    <row r="155" spans="1:31" x14ac:dyDescent="0.35">
      <c r="B155" s="74" t="s">
        <v>506</v>
      </c>
      <c r="C155" s="2" t="s">
        <v>507</v>
      </c>
      <c r="D155" s="2" t="s">
        <v>202</v>
      </c>
      <c r="F155" s="2"/>
      <c r="G155" s="2"/>
      <c r="H155" s="16" t="s">
        <v>218</v>
      </c>
      <c r="I155" s="16" t="s">
        <v>456</v>
      </c>
      <c r="J155" s="16">
        <v>12</v>
      </c>
      <c r="K155" s="17">
        <v>46108</v>
      </c>
      <c r="L155" s="102"/>
      <c r="M155" s="4"/>
      <c r="N155" s="211"/>
      <c r="O155" s="1"/>
      <c r="Q155" s="18" t="str">
        <f t="shared" si="38"/>
        <v/>
      </c>
      <c r="R155" s="12" t="str">
        <f t="shared" si="38"/>
        <v/>
      </c>
      <c r="S155" s="12" t="str">
        <f t="shared" si="38"/>
        <v/>
      </c>
      <c r="T155" s="12" t="str">
        <f t="shared" si="38"/>
        <v/>
      </c>
      <c r="U155" s="12" t="str">
        <f t="shared" si="38"/>
        <v/>
      </c>
      <c r="V155" s="12" t="str">
        <f t="shared" si="38"/>
        <v/>
      </c>
      <c r="W155" s="12" t="str">
        <f t="shared" si="38"/>
        <v/>
      </c>
      <c r="X155" s="18" t="str">
        <f t="shared" si="38"/>
        <v/>
      </c>
      <c r="Y155" s="12" t="str">
        <f t="shared" si="38"/>
        <v/>
      </c>
      <c r="Z155" s="12" t="str">
        <f t="shared" si="38"/>
        <v/>
      </c>
      <c r="AA155" s="12" t="str">
        <f t="shared" si="38"/>
        <v/>
      </c>
      <c r="AB155" s="12" t="str">
        <f t="shared" si="38"/>
        <v>x</v>
      </c>
      <c r="AC155" s="12" t="str">
        <f t="shared" si="38"/>
        <v/>
      </c>
      <c r="AD155" s="12" t="str">
        <f t="shared" si="38"/>
        <v/>
      </c>
      <c r="AE155" s="18" t="str">
        <f t="shared" si="38"/>
        <v/>
      </c>
    </row>
    <row r="156" spans="1:31" x14ac:dyDescent="0.35">
      <c r="B156" s="74" t="s">
        <v>508</v>
      </c>
      <c r="C156" s="2" t="s">
        <v>509</v>
      </c>
      <c r="D156" s="2" t="s">
        <v>241</v>
      </c>
      <c r="F156" s="2"/>
      <c r="G156" s="2" t="s">
        <v>510</v>
      </c>
      <c r="H156" s="16" t="s">
        <v>218</v>
      </c>
      <c r="I156" s="16" t="s">
        <v>456</v>
      </c>
      <c r="J156" s="16">
        <v>12</v>
      </c>
      <c r="K156" s="17">
        <v>46108</v>
      </c>
      <c r="L156" s="102"/>
      <c r="M156" s="4"/>
      <c r="N156" s="211"/>
      <c r="O156" s="1">
        <v>0</v>
      </c>
      <c r="Q156" s="18" t="str">
        <f t="shared" si="38"/>
        <v/>
      </c>
      <c r="R156" s="12" t="str">
        <f t="shared" si="38"/>
        <v/>
      </c>
      <c r="S156" s="12" t="str">
        <f t="shared" si="38"/>
        <v/>
      </c>
      <c r="T156" s="12" t="str">
        <f t="shared" si="38"/>
        <v/>
      </c>
      <c r="U156" s="12" t="str">
        <f t="shared" si="38"/>
        <v/>
      </c>
      <c r="V156" s="12" t="str">
        <f t="shared" si="38"/>
        <v/>
      </c>
      <c r="W156" s="12" t="str">
        <f t="shared" si="38"/>
        <v/>
      </c>
      <c r="X156" s="18" t="str">
        <f t="shared" si="38"/>
        <v/>
      </c>
      <c r="Y156" s="12" t="str">
        <f t="shared" si="38"/>
        <v/>
      </c>
      <c r="Z156" s="12" t="str">
        <f t="shared" si="38"/>
        <v/>
      </c>
      <c r="AA156" s="12" t="str">
        <f t="shared" si="38"/>
        <v/>
      </c>
      <c r="AB156" s="12" t="str">
        <f t="shared" si="38"/>
        <v>x</v>
      </c>
      <c r="AC156" s="12" t="str">
        <f t="shared" si="38"/>
        <v/>
      </c>
      <c r="AD156" s="12" t="str">
        <f t="shared" si="38"/>
        <v/>
      </c>
      <c r="AE156" s="18" t="str">
        <f t="shared" si="38"/>
        <v/>
      </c>
    </row>
    <row r="157" spans="1:31" x14ac:dyDescent="0.35">
      <c r="B157" s="74" t="s">
        <v>511</v>
      </c>
      <c r="C157" s="2" t="s">
        <v>512</v>
      </c>
      <c r="D157" s="2" t="s">
        <v>241</v>
      </c>
      <c r="F157" s="2"/>
      <c r="G157" s="2" t="s">
        <v>513</v>
      </c>
      <c r="H157" s="16" t="s">
        <v>218</v>
      </c>
      <c r="I157" s="16" t="s">
        <v>456</v>
      </c>
      <c r="J157" s="16">
        <v>12</v>
      </c>
      <c r="K157" s="17">
        <v>46101</v>
      </c>
      <c r="L157" s="102"/>
      <c r="M157" s="4"/>
      <c r="N157" s="211"/>
      <c r="O157" s="1">
        <v>0</v>
      </c>
      <c r="Q157" s="18" t="str">
        <f t="shared" si="38"/>
        <v/>
      </c>
      <c r="R157" s="12" t="str">
        <f t="shared" si="38"/>
        <v/>
      </c>
      <c r="S157" s="12" t="str">
        <f t="shared" si="38"/>
        <v/>
      </c>
      <c r="T157" s="12" t="str">
        <f t="shared" si="38"/>
        <v/>
      </c>
      <c r="U157" s="12" t="str">
        <f t="shared" si="38"/>
        <v/>
      </c>
      <c r="V157" s="12" t="str">
        <f t="shared" si="38"/>
        <v/>
      </c>
      <c r="W157" s="12" t="str">
        <f t="shared" si="38"/>
        <v/>
      </c>
      <c r="X157" s="18" t="str">
        <f t="shared" si="38"/>
        <v/>
      </c>
      <c r="Y157" s="12" t="str">
        <f t="shared" si="38"/>
        <v/>
      </c>
      <c r="Z157" s="12" t="str">
        <f t="shared" si="38"/>
        <v/>
      </c>
      <c r="AA157" s="12" t="str">
        <f t="shared" si="38"/>
        <v/>
      </c>
      <c r="AB157" s="12" t="str">
        <f t="shared" si="38"/>
        <v>x</v>
      </c>
      <c r="AC157" s="12" t="str">
        <f t="shared" si="38"/>
        <v/>
      </c>
      <c r="AD157" s="12" t="str">
        <f t="shared" si="38"/>
        <v/>
      </c>
      <c r="AE157" s="18" t="str">
        <f t="shared" si="38"/>
        <v/>
      </c>
    </row>
    <row r="158" spans="1:31" x14ac:dyDescent="0.35">
      <c r="B158" s="74" t="s">
        <v>514</v>
      </c>
      <c r="C158" s="2" t="s">
        <v>515</v>
      </c>
      <c r="D158" s="2" t="s">
        <v>241</v>
      </c>
      <c r="F158" s="2"/>
      <c r="G158" s="2" t="s">
        <v>516</v>
      </c>
      <c r="H158" s="16" t="s">
        <v>218</v>
      </c>
      <c r="I158" s="16" t="s">
        <v>456</v>
      </c>
      <c r="J158" s="16">
        <v>12</v>
      </c>
      <c r="K158" s="17">
        <v>46108</v>
      </c>
      <c r="L158" s="102"/>
      <c r="M158" s="4"/>
      <c r="N158" s="211"/>
      <c r="O158" s="1">
        <v>0</v>
      </c>
      <c r="Q158" s="18" t="str">
        <f t="shared" si="38"/>
        <v/>
      </c>
      <c r="R158" s="12" t="str">
        <f t="shared" si="38"/>
        <v/>
      </c>
      <c r="S158" s="12" t="str">
        <f t="shared" si="38"/>
        <v/>
      </c>
      <c r="T158" s="12" t="str">
        <f t="shared" si="38"/>
        <v/>
      </c>
      <c r="U158" s="12" t="str">
        <f t="shared" si="38"/>
        <v/>
      </c>
      <c r="V158" s="12" t="str">
        <f t="shared" si="38"/>
        <v/>
      </c>
      <c r="W158" s="12" t="str">
        <f t="shared" si="38"/>
        <v/>
      </c>
      <c r="X158" s="18" t="str">
        <f t="shared" si="38"/>
        <v/>
      </c>
      <c r="Y158" s="12" t="str">
        <f t="shared" si="38"/>
        <v/>
      </c>
      <c r="Z158" s="12" t="str">
        <f t="shared" si="38"/>
        <v/>
      </c>
      <c r="AA158" s="12" t="str">
        <f t="shared" si="38"/>
        <v/>
      </c>
      <c r="AB158" s="12" t="str">
        <f t="shared" si="38"/>
        <v>x</v>
      </c>
      <c r="AC158" s="12" t="str">
        <f t="shared" si="38"/>
        <v/>
      </c>
      <c r="AD158" s="12" t="str">
        <f t="shared" si="38"/>
        <v/>
      </c>
      <c r="AE158" s="18" t="str">
        <f t="shared" si="38"/>
        <v/>
      </c>
    </row>
    <row r="159" spans="1:31" x14ac:dyDescent="0.35">
      <c r="B159" s="74" t="s">
        <v>517</v>
      </c>
      <c r="C159" s="2" t="s">
        <v>323</v>
      </c>
      <c r="D159" s="2" t="s">
        <v>241</v>
      </c>
      <c r="F159" s="2"/>
      <c r="G159" s="2" t="s">
        <v>324</v>
      </c>
      <c r="H159" s="16" t="s">
        <v>218</v>
      </c>
      <c r="I159" s="16" t="s">
        <v>456</v>
      </c>
      <c r="J159" s="16">
        <v>12</v>
      </c>
      <c r="K159" s="17">
        <v>46101</v>
      </c>
      <c r="L159" s="102"/>
      <c r="M159" s="4"/>
      <c r="N159" s="211"/>
      <c r="O159" s="1"/>
      <c r="Q159" s="18" t="str">
        <f t="shared" si="38"/>
        <v/>
      </c>
      <c r="R159" s="12" t="str">
        <f t="shared" si="38"/>
        <v/>
      </c>
      <c r="S159" s="12" t="str">
        <f t="shared" si="38"/>
        <v/>
      </c>
      <c r="T159" s="12" t="str">
        <f t="shared" si="38"/>
        <v/>
      </c>
      <c r="U159" s="12" t="str">
        <f t="shared" si="38"/>
        <v/>
      </c>
      <c r="V159" s="12" t="str">
        <f t="shared" si="38"/>
        <v/>
      </c>
      <c r="W159" s="12" t="str">
        <f t="shared" si="38"/>
        <v/>
      </c>
      <c r="X159" s="18" t="str">
        <f t="shared" si="38"/>
        <v/>
      </c>
      <c r="Y159" s="12" t="str">
        <f t="shared" si="38"/>
        <v/>
      </c>
      <c r="Z159" s="12" t="str">
        <f t="shared" si="38"/>
        <v/>
      </c>
      <c r="AA159" s="12" t="str">
        <f t="shared" si="38"/>
        <v/>
      </c>
      <c r="AB159" s="12" t="str">
        <f t="shared" si="38"/>
        <v>x</v>
      </c>
      <c r="AC159" s="12" t="str">
        <f t="shared" si="38"/>
        <v/>
      </c>
      <c r="AD159" s="12" t="str">
        <f t="shared" si="38"/>
        <v/>
      </c>
      <c r="AE159" s="18" t="str">
        <f t="shared" si="38"/>
        <v/>
      </c>
    </row>
    <row r="160" spans="1:31" x14ac:dyDescent="0.35">
      <c r="B160" s="74" t="s">
        <v>518</v>
      </c>
      <c r="C160" s="2" t="s">
        <v>519</v>
      </c>
      <c r="D160" s="2" t="s">
        <v>241</v>
      </c>
      <c r="F160" s="2"/>
      <c r="G160" s="2" t="s">
        <v>407</v>
      </c>
      <c r="H160" s="16" t="s">
        <v>218</v>
      </c>
      <c r="I160" s="16" t="s">
        <v>456</v>
      </c>
      <c r="J160" s="16">
        <v>12</v>
      </c>
      <c r="K160" s="17">
        <v>46101</v>
      </c>
      <c r="L160" s="102"/>
      <c r="M160" s="4"/>
      <c r="N160" s="211"/>
      <c r="O160" s="1"/>
      <c r="Q160" s="18" t="str">
        <f t="shared" si="38"/>
        <v/>
      </c>
      <c r="R160" s="12" t="str">
        <f t="shared" si="38"/>
        <v/>
      </c>
      <c r="S160" s="12" t="str">
        <f t="shared" si="38"/>
        <v/>
      </c>
      <c r="T160" s="12" t="str">
        <f t="shared" si="38"/>
        <v/>
      </c>
      <c r="U160" s="12" t="str">
        <f t="shared" si="38"/>
        <v/>
      </c>
      <c r="V160" s="12" t="str">
        <f t="shared" si="38"/>
        <v/>
      </c>
      <c r="W160" s="12" t="str">
        <f t="shared" si="38"/>
        <v/>
      </c>
      <c r="X160" s="18" t="str">
        <f t="shared" si="38"/>
        <v/>
      </c>
      <c r="Y160" s="12" t="str">
        <f t="shared" si="38"/>
        <v/>
      </c>
      <c r="Z160" s="12" t="str">
        <f t="shared" si="38"/>
        <v/>
      </c>
      <c r="AA160" s="12" t="str">
        <f t="shared" si="38"/>
        <v/>
      </c>
      <c r="AB160" s="12" t="str">
        <f t="shared" si="38"/>
        <v>x</v>
      </c>
      <c r="AC160" s="12" t="str">
        <f t="shared" si="38"/>
        <v/>
      </c>
      <c r="AD160" s="12" t="str">
        <f t="shared" si="38"/>
        <v/>
      </c>
      <c r="AE160" s="18" t="str">
        <f t="shared" si="38"/>
        <v/>
      </c>
    </row>
    <row r="161" spans="2:31" x14ac:dyDescent="0.35">
      <c r="B161" s="217" t="s">
        <v>181</v>
      </c>
      <c r="C161" s="157" t="s">
        <v>520</v>
      </c>
      <c r="D161" s="158"/>
      <c r="E161" s="158"/>
      <c r="F161" s="158"/>
      <c r="G161" s="158"/>
      <c r="H161" s="158"/>
      <c r="I161" s="158"/>
      <c r="J161" s="159">
        <v>13</v>
      </c>
      <c r="K161" s="160"/>
      <c r="L161" s="161"/>
      <c r="M161" s="158"/>
      <c r="N161" s="209"/>
      <c r="O161" s="1"/>
      <c r="Q161" s="18" t="str">
        <f t="shared" si="38"/>
        <v/>
      </c>
      <c r="R161" s="177"/>
      <c r="S161" s="177"/>
      <c r="T161" s="177"/>
      <c r="U161" s="177"/>
      <c r="V161" s="176"/>
      <c r="W161" s="176"/>
      <c r="X161" s="18" t="str">
        <f t="shared" si="38"/>
        <v/>
      </c>
      <c r="Y161" s="176"/>
      <c r="Z161" s="176"/>
      <c r="AA161" s="178"/>
      <c r="AB161" s="178"/>
      <c r="AC161" s="178" t="s">
        <v>183</v>
      </c>
      <c r="AD161" s="178"/>
      <c r="AE161" s="15"/>
    </row>
    <row r="162" spans="2:31" x14ac:dyDescent="0.35">
      <c r="B162" s="220" t="s">
        <v>521</v>
      </c>
      <c r="C162" s="168" t="s">
        <v>185</v>
      </c>
      <c r="D162" s="168" t="s">
        <v>186</v>
      </c>
      <c r="E162" s="168" t="s">
        <v>187</v>
      </c>
      <c r="F162" s="168"/>
      <c r="G162" s="168" t="s">
        <v>188</v>
      </c>
      <c r="H162" s="169" t="s">
        <v>189</v>
      </c>
      <c r="I162" s="169" t="s">
        <v>456</v>
      </c>
      <c r="J162" s="169">
        <v>13</v>
      </c>
      <c r="K162" s="169"/>
      <c r="L162" s="169"/>
      <c r="M162" s="169"/>
      <c r="N162" s="215"/>
      <c r="O162" s="1"/>
      <c r="Q162" s="18" t="str">
        <f t="shared" ref="Q162:AE166" si="40">IF($J162=Q$2,"x","")</f>
        <v/>
      </c>
      <c r="R162" s="177"/>
      <c r="S162" s="177"/>
      <c r="T162" s="177"/>
      <c r="U162" s="177"/>
      <c r="V162" s="176"/>
      <c r="W162" s="176"/>
      <c r="X162" s="18" t="str">
        <f t="shared" si="40"/>
        <v/>
      </c>
      <c r="Y162" s="176"/>
      <c r="Z162" s="176"/>
      <c r="AA162" s="178"/>
      <c r="AB162" s="178"/>
      <c r="AC162" s="178" t="s">
        <v>183</v>
      </c>
      <c r="AD162" s="178"/>
      <c r="AE162" s="15"/>
    </row>
    <row r="163" spans="2:31" x14ac:dyDescent="0.35">
      <c r="B163" s="74" t="s">
        <v>522</v>
      </c>
      <c r="C163" s="2" t="s">
        <v>523</v>
      </c>
      <c r="D163" s="2" t="s">
        <v>193</v>
      </c>
      <c r="F163" s="2"/>
      <c r="G163" s="2" t="s">
        <v>203</v>
      </c>
      <c r="H163" s="16" t="s">
        <v>189</v>
      </c>
      <c r="I163" s="16" t="s">
        <v>456</v>
      </c>
      <c r="J163" s="16">
        <v>13</v>
      </c>
      <c r="K163" s="17">
        <v>46115</v>
      </c>
      <c r="L163" s="102"/>
      <c r="M163" s="4"/>
      <c r="N163" s="211"/>
      <c r="O163" s="1"/>
      <c r="Q163" s="18" t="str">
        <f t="shared" si="40"/>
        <v/>
      </c>
      <c r="R163" s="12" t="str">
        <f t="shared" si="40"/>
        <v/>
      </c>
      <c r="S163" s="12" t="str">
        <f t="shared" si="40"/>
        <v/>
      </c>
      <c r="T163" s="12" t="str">
        <f t="shared" si="40"/>
        <v/>
      </c>
      <c r="U163" s="12" t="str">
        <f t="shared" si="40"/>
        <v/>
      </c>
      <c r="V163" s="12" t="str">
        <f t="shared" si="40"/>
        <v/>
      </c>
      <c r="W163" s="12" t="str">
        <f t="shared" si="40"/>
        <v/>
      </c>
      <c r="X163" s="18" t="str">
        <f t="shared" si="40"/>
        <v/>
      </c>
      <c r="Y163" s="12" t="str">
        <f t="shared" si="40"/>
        <v/>
      </c>
      <c r="Z163" s="12" t="str">
        <f t="shared" si="40"/>
        <v/>
      </c>
      <c r="AA163" s="12" t="str">
        <f t="shared" si="40"/>
        <v/>
      </c>
      <c r="AB163" s="12" t="str">
        <f t="shared" si="40"/>
        <v/>
      </c>
      <c r="AC163" s="12" t="str">
        <f t="shared" si="40"/>
        <v>x</v>
      </c>
      <c r="AD163" s="12" t="str">
        <f t="shared" si="40"/>
        <v/>
      </c>
      <c r="AE163" s="18" t="str">
        <f t="shared" si="40"/>
        <v/>
      </c>
    </row>
    <row r="164" spans="2:31" x14ac:dyDescent="0.35">
      <c r="B164" s="74" t="s">
        <v>524</v>
      </c>
      <c r="C164" s="2" t="s">
        <v>525</v>
      </c>
      <c r="D164" s="2" t="s">
        <v>193</v>
      </c>
      <c r="F164" s="2" t="s">
        <v>526</v>
      </c>
      <c r="G164" s="2" t="s">
        <v>527</v>
      </c>
      <c r="H164" s="16" t="s">
        <v>218</v>
      </c>
      <c r="I164" s="16" t="s">
        <v>456</v>
      </c>
      <c r="J164" s="16">
        <v>13</v>
      </c>
      <c r="K164" s="17">
        <v>46115</v>
      </c>
      <c r="L164" s="102"/>
      <c r="M164" s="4"/>
      <c r="N164" s="211"/>
      <c r="O164" s="1"/>
      <c r="Q164" s="18" t="str">
        <f t="shared" si="40"/>
        <v/>
      </c>
      <c r="R164" s="12" t="str">
        <f t="shared" si="40"/>
        <v/>
      </c>
      <c r="S164" s="12" t="str">
        <f t="shared" si="40"/>
        <v/>
      </c>
      <c r="T164" s="12" t="str">
        <f t="shared" si="40"/>
        <v/>
      </c>
      <c r="U164" s="12" t="str">
        <f t="shared" si="40"/>
        <v/>
      </c>
      <c r="V164" s="12" t="str">
        <f t="shared" si="40"/>
        <v/>
      </c>
      <c r="W164" s="12" t="str">
        <f t="shared" si="40"/>
        <v/>
      </c>
      <c r="X164" s="18" t="str">
        <f t="shared" si="40"/>
        <v/>
      </c>
      <c r="Y164" s="12" t="str">
        <f t="shared" si="40"/>
        <v/>
      </c>
      <c r="Z164" s="12" t="str">
        <f t="shared" si="40"/>
        <v/>
      </c>
      <c r="AA164" s="12" t="str">
        <f t="shared" si="40"/>
        <v/>
      </c>
      <c r="AB164" s="12" t="str">
        <f t="shared" si="40"/>
        <v/>
      </c>
      <c r="AC164" s="12" t="str">
        <f t="shared" si="40"/>
        <v>x</v>
      </c>
      <c r="AD164" s="12" t="str">
        <f t="shared" si="40"/>
        <v/>
      </c>
      <c r="AE164" s="18" t="str">
        <f t="shared" si="40"/>
        <v/>
      </c>
    </row>
    <row r="165" spans="2:31" x14ac:dyDescent="0.35">
      <c r="B165" s="74" t="s">
        <v>528</v>
      </c>
      <c r="C165" s="2" t="s">
        <v>529</v>
      </c>
      <c r="D165" s="2" t="s">
        <v>202</v>
      </c>
      <c r="F165" s="2" t="s">
        <v>526</v>
      </c>
      <c r="G165" s="2"/>
      <c r="H165" s="16" t="s">
        <v>218</v>
      </c>
      <c r="I165" s="16" t="s">
        <v>456</v>
      </c>
      <c r="J165" s="16">
        <v>13</v>
      </c>
      <c r="K165" s="17">
        <v>46115</v>
      </c>
      <c r="L165" s="102"/>
      <c r="M165" s="4"/>
      <c r="N165" s="211"/>
      <c r="O165" s="1"/>
      <c r="Q165" s="18" t="str">
        <f t="shared" si="40"/>
        <v/>
      </c>
      <c r="R165" s="12" t="str">
        <f t="shared" si="40"/>
        <v/>
      </c>
      <c r="S165" s="12" t="str">
        <f t="shared" si="40"/>
        <v/>
      </c>
      <c r="T165" s="12" t="str">
        <f t="shared" si="40"/>
        <v/>
      </c>
      <c r="U165" s="12" t="str">
        <f t="shared" si="40"/>
        <v/>
      </c>
      <c r="V165" s="12" t="str">
        <f t="shared" si="40"/>
        <v/>
      </c>
      <c r="W165" s="12" t="str">
        <f t="shared" si="40"/>
        <v/>
      </c>
      <c r="X165" s="18" t="str">
        <f t="shared" si="40"/>
        <v/>
      </c>
      <c r="Y165" s="12" t="str">
        <f t="shared" si="40"/>
        <v/>
      </c>
      <c r="Z165" s="12" t="str">
        <f t="shared" si="40"/>
        <v/>
      </c>
      <c r="AA165" s="12" t="str">
        <f t="shared" si="40"/>
        <v/>
      </c>
      <c r="AB165" s="12" t="str">
        <f t="shared" si="40"/>
        <v/>
      </c>
      <c r="AC165" s="12" t="str">
        <f t="shared" si="40"/>
        <v>x</v>
      </c>
      <c r="AD165" s="12" t="str">
        <f t="shared" si="40"/>
        <v/>
      </c>
      <c r="AE165" s="18" t="str">
        <f t="shared" si="40"/>
        <v/>
      </c>
    </row>
    <row r="166" spans="2:31" x14ac:dyDescent="0.35">
      <c r="B166" s="74" t="s">
        <v>530</v>
      </c>
      <c r="C166" s="2" t="s">
        <v>531</v>
      </c>
      <c r="D166" s="2" t="s">
        <v>202</v>
      </c>
      <c r="F166" s="2" t="s">
        <v>526</v>
      </c>
      <c r="G166" s="2"/>
      <c r="H166" s="16" t="s">
        <v>218</v>
      </c>
      <c r="I166" s="16" t="s">
        <v>456</v>
      </c>
      <c r="J166" s="16">
        <v>13</v>
      </c>
      <c r="K166" s="17">
        <v>46115</v>
      </c>
      <c r="L166" s="102"/>
      <c r="M166" s="4"/>
      <c r="N166" s="211"/>
      <c r="O166" s="1"/>
      <c r="Q166" s="18" t="str">
        <f t="shared" si="40"/>
        <v/>
      </c>
      <c r="R166" s="12" t="str">
        <f t="shared" si="40"/>
        <v/>
      </c>
      <c r="S166" s="12" t="str">
        <f t="shared" si="40"/>
        <v/>
      </c>
      <c r="T166" s="12" t="str">
        <f t="shared" si="40"/>
        <v/>
      </c>
      <c r="U166" s="12" t="str">
        <f t="shared" si="40"/>
        <v/>
      </c>
      <c r="V166" s="12" t="str">
        <f t="shared" si="40"/>
        <v/>
      </c>
      <c r="W166" s="12" t="str">
        <f t="shared" si="40"/>
        <v/>
      </c>
      <c r="X166" s="18" t="str">
        <f t="shared" si="40"/>
        <v/>
      </c>
      <c r="Y166" s="12" t="str">
        <f t="shared" si="40"/>
        <v/>
      </c>
      <c r="Z166" s="12" t="str">
        <f t="shared" si="40"/>
        <v/>
      </c>
      <c r="AA166" s="12" t="str">
        <f t="shared" si="40"/>
        <v/>
      </c>
      <c r="AB166" s="12" t="str">
        <f t="shared" si="40"/>
        <v/>
      </c>
      <c r="AC166" s="12" t="str">
        <f t="shared" si="40"/>
        <v>x</v>
      </c>
      <c r="AD166" s="12" t="str">
        <f t="shared" si="40"/>
        <v/>
      </c>
      <c r="AE166" s="18" t="str">
        <f t="shared" si="40"/>
        <v/>
      </c>
    </row>
    <row r="167" spans="2:31" x14ac:dyDescent="0.35">
      <c r="B167" s="220" t="s">
        <v>532</v>
      </c>
      <c r="C167" s="168" t="s">
        <v>261</v>
      </c>
      <c r="D167" s="168" t="s">
        <v>186</v>
      </c>
      <c r="E167" s="168" t="s">
        <v>294</v>
      </c>
      <c r="F167" s="168"/>
      <c r="G167" s="168" t="s">
        <v>188</v>
      </c>
      <c r="H167" s="169" t="s">
        <v>189</v>
      </c>
      <c r="I167" s="169" t="s">
        <v>456</v>
      </c>
      <c r="J167" s="169">
        <v>13</v>
      </c>
      <c r="K167" s="169"/>
      <c r="L167" s="170"/>
      <c r="M167" s="169">
        <f>N167/6</f>
        <v>1</v>
      </c>
      <c r="N167" s="215">
        <v>6</v>
      </c>
      <c r="O167" s="1"/>
      <c r="Q167" s="18" t="str">
        <f t="shared" ref="Q167:AE179" si="41">IF($J167=Q$2,"x","")</f>
        <v/>
      </c>
      <c r="R167" s="177"/>
      <c r="S167" s="177"/>
      <c r="T167" s="177"/>
      <c r="U167" s="177"/>
      <c r="V167" s="176"/>
      <c r="W167" s="176"/>
      <c r="X167" s="18" t="str">
        <f t="shared" si="41"/>
        <v/>
      </c>
      <c r="Y167" s="176"/>
      <c r="Z167" s="176"/>
      <c r="AA167" s="178"/>
      <c r="AB167" s="178"/>
      <c r="AC167" s="178" t="s">
        <v>183</v>
      </c>
      <c r="AD167" s="178"/>
      <c r="AE167" s="15"/>
    </row>
    <row r="168" spans="2:31" x14ac:dyDescent="0.35">
      <c r="B168" s="74" t="s">
        <v>533</v>
      </c>
      <c r="C168" s="2" t="s">
        <v>534</v>
      </c>
      <c r="D168" s="2" t="s">
        <v>193</v>
      </c>
      <c r="F168" s="2"/>
      <c r="G168" s="2" t="s">
        <v>203</v>
      </c>
      <c r="H168" s="16" t="s">
        <v>189</v>
      </c>
      <c r="I168" s="16" t="s">
        <v>456</v>
      </c>
      <c r="J168" s="16">
        <v>13</v>
      </c>
      <c r="K168" s="17">
        <v>46115</v>
      </c>
      <c r="L168" s="102"/>
      <c r="M168" s="4"/>
      <c r="N168" s="211"/>
      <c r="O168" s="1"/>
      <c r="Q168" s="18" t="str">
        <f t="shared" si="41"/>
        <v/>
      </c>
      <c r="R168" s="12" t="str">
        <f t="shared" si="41"/>
        <v/>
      </c>
      <c r="S168" s="12" t="str">
        <f t="shared" si="41"/>
        <v/>
      </c>
      <c r="T168" s="12" t="str">
        <f t="shared" si="41"/>
        <v/>
      </c>
      <c r="U168" s="12" t="str">
        <f t="shared" si="41"/>
        <v/>
      </c>
      <c r="V168" s="12" t="str">
        <f t="shared" si="41"/>
        <v/>
      </c>
      <c r="W168" s="12" t="str">
        <f t="shared" si="41"/>
        <v/>
      </c>
      <c r="X168" s="18" t="str">
        <f t="shared" si="41"/>
        <v/>
      </c>
      <c r="Y168" s="12" t="str">
        <f t="shared" si="41"/>
        <v/>
      </c>
      <c r="Z168" s="12" t="str">
        <f t="shared" si="41"/>
        <v/>
      </c>
      <c r="AA168" s="12" t="str">
        <f t="shared" si="41"/>
        <v/>
      </c>
      <c r="AB168" s="12" t="str">
        <f t="shared" si="41"/>
        <v/>
      </c>
      <c r="AC168" s="12" t="str">
        <f t="shared" si="41"/>
        <v>x</v>
      </c>
      <c r="AD168" s="12" t="str">
        <f t="shared" si="41"/>
        <v/>
      </c>
      <c r="AE168" s="18" t="str">
        <f t="shared" si="41"/>
        <v/>
      </c>
    </row>
    <row r="169" spans="2:31" x14ac:dyDescent="0.35">
      <c r="B169" s="74" t="s">
        <v>535</v>
      </c>
      <c r="C169" s="2" t="s">
        <v>536</v>
      </c>
      <c r="D169" s="2" t="s">
        <v>270</v>
      </c>
      <c r="F169" s="2"/>
      <c r="G169" s="2" t="s">
        <v>203</v>
      </c>
      <c r="H169" s="16" t="s">
        <v>189</v>
      </c>
      <c r="I169" s="16" t="s">
        <v>456</v>
      </c>
      <c r="J169" s="16">
        <v>13</v>
      </c>
      <c r="K169" s="17">
        <v>46115</v>
      </c>
      <c r="L169" s="102"/>
      <c r="M169" s="4"/>
      <c r="N169" s="211"/>
      <c r="O169" s="1"/>
      <c r="Q169" s="18" t="str">
        <f t="shared" si="41"/>
        <v/>
      </c>
      <c r="R169" s="12" t="str">
        <f t="shared" si="41"/>
        <v/>
      </c>
      <c r="S169" s="12" t="str">
        <f t="shared" si="41"/>
        <v/>
      </c>
      <c r="T169" s="12" t="str">
        <f t="shared" si="41"/>
        <v/>
      </c>
      <c r="U169" s="12" t="str">
        <f t="shared" si="41"/>
        <v/>
      </c>
      <c r="V169" s="12" t="str">
        <f t="shared" si="41"/>
        <v/>
      </c>
      <c r="W169" s="12" t="str">
        <f t="shared" si="41"/>
        <v/>
      </c>
      <c r="X169" s="18" t="str">
        <f t="shared" si="41"/>
        <v/>
      </c>
      <c r="Y169" s="12" t="str">
        <f t="shared" si="41"/>
        <v/>
      </c>
      <c r="Z169" s="12" t="str">
        <f t="shared" si="41"/>
        <v/>
      </c>
      <c r="AA169" s="12" t="str">
        <f t="shared" si="41"/>
        <v/>
      </c>
      <c r="AB169" s="12" t="str">
        <f t="shared" si="41"/>
        <v/>
      </c>
      <c r="AC169" s="12" t="str">
        <f t="shared" si="41"/>
        <v>x</v>
      </c>
      <c r="AD169" s="12" t="str">
        <f t="shared" si="41"/>
        <v/>
      </c>
      <c r="AE169" s="18" t="str">
        <f t="shared" si="41"/>
        <v/>
      </c>
    </row>
    <row r="170" spans="2:31" x14ac:dyDescent="0.35">
      <c r="B170" s="220" t="s">
        <v>537</v>
      </c>
      <c r="C170" s="168" t="s">
        <v>261</v>
      </c>
      <c r="D170" s="168" t="s">
        <v>186</v>
      </c>
      <c r="E170" s="168" t="s">
        <v>262</v>
      </c>
      <c r="F170" s="168"/>
      <c r="G170" s="168" t="s">
        <v>188</v>
      </c>
      <c r="H170" s="169" t="s">
        <v>189</v>
      </c>
      <c r="I170" s="169" t="s">
        <v>456</v>
      </c>
      <c r="J170" s="169">
        <v>13</v>
      </c>
      <c r="K170" s="169"/>
      <c r="L170" s="170"/>
      <c r="M170" s="169">
        <f>N170/6</f>
        <v>1</v>
      </c>
      <c r="N170" s="215">
        <v>6</v>
      </c>
      <c r="O170" s="1"/>
      <c r="Q170" s="18" t="str">
        <f t="shared" si="41"/>
        <v/>
      </c>
      <c r="R170" s="177"/>
      <c r="S170" s="177"/>
      <c r="T170" s="177"/>
      <c r="U170" s="177"/>
      <c r="V170" s="176"/>
      <c r="W170" s="176"/>
      <c r="X170" s="18" t="str">
        <f t="shared" si="41"/>
        <v/>
      </c>
      <c r="Y170" s="176"/>
      <c r="Z170" s="176"/>
      <c r="AA170" s="178"/>
      <c r="AB170" s="178"/>
      <c r="AC170" s="178" t="s">
        <v>183</v>
      </c>
      <c r="AD170" s="178"/>
      <c r="AE170" s="15"/>
    </row>
    <row r="171" spans="2:31" x14ac:dyDescent="0.35">
      <c r="B171" s="74" t="s">
        <v>538</v>
      </c>
      <c r="C171" s="2" t="s">
        <v>539</v>
      </c>
      <c r="D171" s="2" t="s">
        <v>265</v>
      </c>
      <c r="F171" s="2"/>
      <c r="G171" s="2" t="s">
        <v>203</v>
      </c>
      <c r="H171" s="16" t="s">
        <v>189</v>
      </c>
      <c r="I171" s="16" t="s">
        <v>456</v>
      </c>
      <c r="J171" s="16">
        <v>13</v>
      </c>
      <c r="K171" s="17">
        <v>46115</v>
      </c>
      <c r="L171" s="102"/>
      <c r="M171" s="4"/>
      <c r="N171" s="211"/>
      <c r="O171" s="1"/>
      <c r="Q171" s="18" t="str">
        <f t="shared" si="41"/>
        <v/>
      </c>
      <c r="R171" s="12" t="str">
        <f t="shared" si="41"/>
        <v/>
      </c>
      <c r="S171" s="12" t="str">
        <f t="shared" si="41"/>
        <v/>
      </c>
      <c r="T171" s="12" t="str">
        <f t="shared" si="41"/>
        <v/>
      </c>
      <c r="U171" s="12" t="str">
        <f t="shared" si="41"/>
        <v/>
      </c>
      <c r="V171" s="12" t="str">
        <f t="shared" si="41"/>
        <v/>
      </c>
      <c r="W171" s="12" t="str">
        <f t="shared" si="41"/>
        <v/>
      </c>
      <c r="X171" s="18" t="str">
        <f t="shared" si="41"/>
        <v/>
      </c>
      <c r="Y171" s="12" t="str">
        <f t="shared" si="41"/>
        <v/>
      </c>
      <c r="Z171" s="12" t="str">
        <f t="shared" si="41"/>
        <v/>
      </c>
      <c r="AA171" s="12" t="str">
        <f t="shared" si="41"/>
        <v/>
      </c>
      <c r="AB171" s="12" t="str">
        <f t="shared" si="41"/>
        <v/>
      </c>
      <c r="AC171" s="12" t="str">
        <f t="shared" si="41"/>
        <v>x</v>
      </c>
      <c r="AD171" s="12" t="str">
        <f t="shared" si="41"/>
        <v/>
      </c>
      <c r="AE171" s="18" t="str">
        <f t="shared" si="41"/>
        <v/>
      </c>
    </row>
    <row r="172" spans="2:31" x14ac:dyDescent="0.35">
      <c r="B172" s="74" t="s">
        <v>540</v>
      </c>
      <c r="C172" s="2" t="s">
        <v>363</v>
      </c>
      <c r="D172" s="2" t="s">
        <v>265</v>
      </c>
      <c r="F172" s="2"/>
      <c r="G172" s="2" t="s">
        <v>203</v>
      </c>
      <c r="H172" s="16" t="s">
        <v>189</v>
      </c>
      <c r="I172" s="16" t="s">
        <v>456</v>
      </c>
      <c r="J172" s="16">
        <v>13</v>
      </c>
      <c r="K172" s="17">
        <v>46115</v>
      </c>
      <c r="L172" s="102"/>
      <c r="M172" s="4"/>
      <c r="N172" s="211"/>
      <c r="O172" s="1"/>
      <c r="Q172" s="18" t="str">
        <f t="shared" si="41"/>
        <v/>
      </c>
      <c r="R172" s="12" t="str">
        <f t="shared" si="41"/>
        <v/>
      </c>
      <c r="S172" s="12" t="str">
        <f t="shared" si="41"/>
        <v/>
      </c>
      <c r="T172" s="12" t="str">
        <f t="shared" si="41"/>
        <v/>
      </c>
      <c r="U172" s="12" t="str">
        <f t="shared" si="41"/>
        <v/>
      </c>
      <c r="V172" s="12" t="str">
        <f t="shared" si="41"/>
        <v/>
      </c>
      <c r="W172" s="12" t="str">
        <f t="shared" si="41"/>
        <v/>
      </c>
      <c r="X172" s="18" t="str">
        <f t="shared" si="41"/>
        <v/>
      </c>
      <c r="Y172" s="12" t="str">
        <f t="shared" si="41"/>
        <v/>
      </c>
      <c r="Z172" s="12" t="str">
        <f t="shared" si="41"/>
        <v/>
      </c>
      <c r="AA172" s="12" t="str">
        <f t="shared" si="41"/>
        <v/>
      </c>
      <c r="AB172" s="12" t="str">
        <f t="shared" si="41"/>
        <v/>
      </c>
      <c r="AC172" s="12" t="str">
        <f t="shared" si="41"/>
        <v>x</v>
      </c>
      <c r="AD172" s="12" t="str">
        <f t="shared" si="41"/>
        <v/>
      </c>
      <c r="AE172" s="18" t="str">
        <f t="shared" si="41"/>
        <v/>
      </c>
    </row>
    <row r="173" spans="2:31" x14ac:dyDescent="0.35">
      <c r="B173" s="74" t="s">
        <v>541</v>
      </c>
      <c r="C173" s="2" t="s">
        <v>542</v>
      </c>
      <c r="D173" s="2" t="s">
        <v>270</v>
      </c>
      <c r="F173" s="2"/>
      <c r="G173" s="2" t="s">
        <v>203</v>
      </c>
      <c r="H173" s="16" t="s">
        <v>189</v>
      </c>
      <c r="I173" s="16" t="s">
        <v>456</v>
      </c>
      <c r="J173" s="16">
        <v>13</v>
      </c>
      <c r="K173" s="17">
        <v>46115</v>
      </c>
      <c r="L173" s="102"/>
      <c r="M173" s="4"/>
      <c r="N173" s="211"/>
      <c r="O173" s="156">
        <v>0.02</v>
      </c>
      <c r="Q173" s="18" t="str">
        <f t="shared" si="41"/>
        <v/>
      </c>
      <c r="R173" s="12" t="str">
        <f t="shared" si="41"/>
        <v/>
      </c>
      <c r="S173" s="12" t="str">
        <f t="shared" si="41"/>
        <v/>
      </c>
      <c r="T173" s="12" t="str">
        <f t="shared" si="41"/>
        <v/>
      </c>
      <c r="U173" s="12" t="str">
        <f t="shared" si="41"/>
        <v/>
      </c>
      <c r="V173" s="12" t="str">
        <f t="shared" si="41"/>
        <v/>
      </c>
      <c r="W173" s="12" t="str">
        <f t="shared" si="41"/>
        <v/>
      </c>
      <c r="X173" s="18" t="str">
        <f t="shared" si="41"/>
        <v/>
      </c>
      <c r="Y173" s="12" t="str">
        <f t="shared" si="41"/>
        <v/>
      </c>
      <c r="Z173" s="12" t="str">
        <f t="shared" si="41"/>
        <v/>
      </c>
      <c r="AA173" s="12" t="str">
        <f t="shared" si="41"/>
        <v/>
      </c>
      <c r="AB173" s="12" t="str">
        <f t="shared" si="41"/>
        <v/>
      </c>
      <c r="AC173" s="12" t="str">
        <f t="shared" si="41"/>
        <v>x</v>
      </c>
      <c r="AD173" s="12" t="str">
        <f t="shared" si="41"/>
        <v/>
      </c>
      <c r="AE173" s="18" t="str">
        <f t="shared" si="41"/>
        <v/>
      </c>
    </row>
    <row r="174" spans="2:31" x14ac:dyDescent="0.35">
      <c r="B174" s="74" t="s">
        <v>543</v>
      </c>
      <c r="C174" s="2" t="s">
        <v>544</v>
      </c>
      <c r="D174" s="2" t="s">
        <v>265</v>
      </c>
      <c r="F174" s="2"/>
      <c r="G174" s="2" t="s">
        <v>203</v>
      </c>
      <c r="H174" s="16" t="s">
        <v>189</v>
      </c>
      <c r="I174" s="16" t="s">
        <v>456</v>
      </c>
      <c r="J174" s="16">
        <v>13</v>
      </c>
      <c r="K174" s="17">
        <v>46115</v>
      </c>
      <c r="L174" s="102"/>
      <c r="M174" s="4"/>
      <c r="N174" s="211"/>
      <c r="O174" s="156">
        <v>0.01</v>
      </c>
      <c r="Q174" s="18" t="str">
        <f t="shared" si="41"/>
        <v/>
      </c>
      <c r="R174" s="12" t="str">
        <f t="shared" si="41"/>
        <v/>
      </c>
      <c r="S174" s="12" t="str">
        <f t="shared" si="41"/>
        <v/>
      </c>
      <c r="T174" s="12" t="str">
        <f t="shared" si="41"/>
        <v/>
      </c>
      <c r="U174" s="12" t="str">
        <f t="shared" si="41"/>
        <v/>
      </c>
      <c r="V174" s="12" t="str">
        <f t="shared" si="41"/>
        <v/>
      </c>
      <c r="W174" s="12" t="str">
        <f t="shared" si="41"/>
        <v/>
      </c>
      <c r="X174" s="18" t="str">
        <f t="shared" si="41"/>
        <v/>
      </c>
      <c r="Y174" s="12" t="str">
        <f t="shared" si="41"/>
        <v/>
      </c>
      <c r="Z174" s="12" t="str">
        <f t="shared" si="41"/>
        <v/>
      </c>
      <c r="AA174" s="12" t="str">
        <f t="shared" si="41"/>
        <v/>
      </c>
      <c r="AB174" s="12" t="str">
        <f t="shared" si="41"/>
        <v/>
      </c>
      <c r="AC174" s="12" t="str">
        <f t="shared" si="41"/>
        <v>x</v>
      </c>
      <c r="AD174" s="12" t="str">
        <f t="shared" si="41"/>
        <v/>
      </c>
      <c r="AE174" s="18" t="str">
        <f t="shared" si="41"/>
        <v/>
      </c>
    </row>
    <row r="175" spans="2:31" x14ac:dyDescent="0.35">
      <c r="B175" s="217" t="s">
        <v>181</v>
      </c>
      <c r="C175" s="157" t="s">
        <v>545</v>
      </c>
      <c r="D175" s="158"/>
      <c r="E175" s="158"/>
      <c r="F175" s="158"/>
      <c r="G175" s="158"/>
      <c r="H175" s="158"/>
      <c r="I175" s="158"/>
      <c r="J175" s="159">
        <v>14</v>
      </c>
      <c r="K175" s="160"/>
      <c r="L175" s="161"/>
      <c r="M175" s="158"/>
      <c r="N175" s="209"/>
      <c r="O175" s="1"/>
      <c r="Q175" s="18" t="str">
        <f t="shared" si="41"/>
        <v/>
      </c>
      <c r="R175" s="177"/>
      <c r="S175" s="177"/>
      <c r="T175" s="177"/>
      <c r="U175" s="177"/>
      <c r="V175" s="176"/>
      <c r="W175" s="176"/>
      <c r="X175" s="18" t="str">
        <f t="shared" si="41"/>
        <v/>
      </c>
      <c r="Y175" s="176"/>
      <c r="Z175" s="176"/>
      <c r="AA175" s="178"/>
      <c r="AB175" s="178"/>
      <c r="AC175" s="178"/>
      <c r="AD175" s="178" t="s">
        <v>183</v>
      </c>
      <c r="AE175" s="15"/>
    </row>
    <row r="176" spans="2:31" x14ac:dyDescent="0.35">
      <c r="B176" s="220" t="s">
        <v>546</v>
      </c>
      <c r="C176" s="168" t="s">
        <v>185</v>
      </c>
      <c r="D176" s="168" t="s">
        <v>186</v>
      </c>
      <c r="E176" s="168" t="s">
        <v>187</v>
      </c>
      <c r="F176" s="168"/>
      <c r="G176" s="168" t="s">
        <v>188</v>
      </c>
      <c r="H176" s="169" t="s">
        <v>189</v>
      </c>
      <c r="I176" s="169" t="s">
        <v>456</v>
      </c>
      <c r="J176" s="169">
        <v>14</v>
      </c>
      <c r="K176" s="169"/>
      <c r="L176" s="170"/>
      <c r="M176" s="169"/>
      <c r="N176" s="215"/>
      <c r="O176" s="1"/>
      <c r="Q176" s="18" t="str">
        <f t="shared" si="41"/>
        <v/>
      </c>
      <c r="R176" s="177"/>
      <c r="S176" s="177"/>
      <c r="T176" s="177"/>
      <c r="U176" s="177"/>
      <c r="V176" s="176"/>
      <c r="W176" s="176"/>
      <c r="X176" s="18" t="str">
        <f t="shared" si="41"/>
        <v/>
      </c>
      <c r="Y176" s="176"/>
      <c r="Z176" s="176"/>
      <c r="AA176" s="178"/>
      <c r="AB176" s="178"/>
      <c r="AC176" s="178"/>
      <c r="AD176" s="178" t="s">
        <v>183</v>
      </c>
      <c r="AE176" s="15"/>
    </row>
    <row r="177" spans="2:31" x14ac:dyDescent="0.35">
      <c r="B177" s="220" t="s">
        <v>547</v>
      </c>
      <c r="C177" s="168" t="s">
        <v>548</v>
      </c>
      <c r="D177" s="168" t="s">
        <v>186</v>
      </c>
      <c r="E177" s="168" t="s">
        <v>215</v>
      </c>
      <c r="F177" s="168" t="s">
        <v>526</v>
      </c>
      <c r="G177" s="168" t="s">
        <v>217</v>
      </c>
      <c r="H177" s="169" t="s">
        <v>218</v>
      </c>
      <c r="I177" s="169" t="s">
        <v>456</v>
      </c>
      <c r="J177" s="169">
        <v>14</v>
      </c>
      <c r="K177" s="169"/>
      <c r="L177" s="170"/>
      <c r="M177" s="169">
        <f>N177/6</f>
        <v>1</v>
      </c>
      <c r="N177" s="215">
        <v>6</v>
      </c>
      <c r="O177" s="1"/>
      <c r="Q177" s="18" t="str">
        <f t="shared" si="41"/>
        <v/>
      </c>
      <c r="R177" s="177"/>
      <c r="S177" s="177"/>
      <c r="T177" s="177"/>
      <c r="U177" s="177"/>
      <c r="V177" s="176"/>
      <c r="W177" s="176"/>
      <c r="X177" s="18" t="str">
        <f t="shared" si="41"/>
        <v/>
      </c>
      <c r="Y177" s="176"/>
      <c r="Z177" s="176"/>
      <c r="AA177" s="178"/>
      <c r="AB177" s="178"/>
      <c r="AC177" s="178"/>
      <c r="AD177" s="178" t="s">
        <v>183</v>
      </c>
      <c r="AE177" s="15"/>
    </row>
    <row r="178" spans="2:31" x14ac:dyDescent="0.35">
      <c r="B178" s="220" t="s">
        <v>549</v>
      </c>
      <c r="C178" s="168" t="s">
        <v>288</v>
      </c>
      <c r="D178" s="168" t="s">
        <v>186</v>
      </c>
      <c r="E178" s="168" t="s">
        <v>289</v>
      </c>
      <c r="F178" s="168" t="s">
        <v>290</v>
      </c>
      <c r="G178" s="168" t="s">
        <v>291</v>
      </c>
      <c r="H178" s="169" t="s">
        <v>292</v>
      </c>
      <c r="I178" s="169" t="s">
        <v>456</v>
      </c>
      <c r="J178" s="169">
        <v>14</v>
      </c>
      <c r="K178" s="169"/>
      <c r="L178" s="170"/>
      <c r="M178" s="169">
        <f>N178/6</f>
        <v>2</v>
      </c>
      <c r="N178" s="215">
        <v>12</v>
      </c>
      <c r="O178" s="1"/>
      <c r="Q178" s="18" t="str">
        <f t="shared" si="41"/>
        <v/>
      </c>
      <c r="R178" s="177"/>
      <c r="S178" s="177"/>
      <c r="T178" s="177"/>
      <c r="U178" s="177"/>
      <c r="V178" s="176"/>
      <c r="W178" s="176"/>
      <c r="X178" s="18" t="str">
        <f t="shared" si="41"/>
        <v/>
      </c>
      <c r="Y178" s="176"/>
      <c r="Z178" s="176"/>
      <c r="AA178" s="178"/>
      <c r="AB178" s="178"/>
      <c r="AC178" s="178"/>
      <c r="AD178" s="178" t="s">
        <v>183</v>
      </c>
      <c r="AE178" s="15"/>
    </row>
    <row r="179" spans="2:31" x14ac:dyDescent="0.35">
      <c r="B179" s="220" t="s">
        <v>550</v>
      </c>
      <c r="C179" s="168" t="s">
        <v>261</v>
      </c>
      <c r="D179" s="168" t="s">
        <v>186</v>
      </c>
      <c r="E179" s="168" t="s">
        <v>262</v>
      </c>
      <c r="F179" s="168"/>
      <c r="G179" s="168" t="s">
        <v>188</v>
      </c>
      <c r="H179" s="169" t="s">
        <v>189</v>
      </c>
      <c r="I179" s="169" t="s">
        <v>456</v>
      </c>
      <c r="J179" s="169">
        <v>14</v>
      </c>
      <c r="K179" s="169"/>
      <c r="L179" s="170"/>
      <c r="M179" s="169">
        <f>N179/6</f>
        <v>5</v>
      </c>
      <c r="N179" s="215">
        <v>30</v>
      </c>
      <c r="O179" s="1"/>
      <c r="Q179" s="18" t="str">
        <f t="shared" si="41"/>
        <v/>
      </c>
      <c r="R179" s="177"/>
      <c r="S179" s="177"/>
      <c r="T179" s="177"/>
      <c r="U179" s="177"/>
      <c r="V179" s="176"/>
      <c r="W179" s="176"/>
      <c r="X179" s="18" t="str">
        <f t="shared" ref="Q179:AE190" si="42">IF($J179=X$2,"x","")</f>
        <v/>
      </c>
      <c r="Y179" s="176"/>
      <c r="Z179" s="176"/>
      <c r="AA179" s="178"/>
      <c r="AB179" s="178"/>
      <c r="AC179" s="178"/>
      <c r="AD179" s="178" t="s">
        <v>183</v>
      </c>
      <c r="AE179" s="15"/>
    </row>
    <row r="180" spans="2:31" x14ac:dyDescent="0.35">
      <c r="B180" s="74" t="s">
        <v>551</v>
      </c>
      <c r="C180" s="2" t="s">
        <v>552</v>
      </c>
      <c r="D180" s="2" t="s">
        <v>270</v>
      </c>
      <c r="F180" s="2"/>
      <c r="G180" s="2" t="s">
        <v>203</v>
      </c>
      <c r="H180" s="16" t="s">
        <v>189</v>
      </c>
      <c r="I180" s="16" t="s">
        <v>456</v>
      </c>
      <c r="J180" s="16">
        <v>14</v>
      </c>
      <c r="K180" s="17">
        <v>46122</v>
      </c>
      <c r="L180" s="102"/>
      <c r="M180" s="4"/>
      <c r="N180" s="211"/>
      <c r="O180" s="1"/>
      <c r="Q180" s="18"/>
      <c r="R180" s="12"/>
      <c r="S180" s="12"/>
      <c r="T180" s="12"/>
      <c r="U180" s="12"/>
      <c r="V180" s="12"/>
      <c r="W180" s="12"/>
      <c r="X180" s="18"/>
      <c r="Y180" s="12"/>
      <c r="Z180" s="12"/>
      <c r="AA180" s="12"/>
      <c r="AB180" s="12"/>
      <c r="AC180" s="12"/>
      <c r="AD180" s="12" t="s">
        <v>183</v>
      </c>
      <c r="AE180" s="18"/>
    </row>
    <row r="181" spans="2:31" x14ac:dyDescent="0.35">
      <c r="B181" s="74" t="s">
        <v>553</v>
      </c>
      <c r="C181" s="2" t="s">
        <v>554</v>
      </c>
      <c r="D181" s="2" t="s">
        <v>265</v>
      </c>
      <c r="F181" s="2"/>
      <c r="G181" s="2" t="s">
        <v>203</v>
      </c>
      <c r="H181" s="16" t="s">
        <v>189</v>
      </c>
      <c r="I181" s="16" t="s">
        <v>456</v>
      </c>
      <c r="J181" s="16">
        <v>14</v>
      </c>
      <c r="K181" s="17">
        <v>46122</v>
      </c>
      <c r="L181" s="102"/>
      <c r="M181" s="4"/>
      <c r="N181" s="211"/>
      <c r="O181" s="1"/>
      <c r="Q181" s="18" t="str">
        <f t="shared" si="42"/>
        <v/>
      </c>
      <c r="R181" s="12"/>
      <c r="S181" s="12"/>
      <c r="T181" s="12"/>
      <c r="U181" s="12"/>
      <c r="V181" s="12"/>
      <c r="W181" s="12"/>
      <c r="X181" s="18"/>
      <c r="Y181" s="12"/>
      <c r="Z181" s="12"/>
      <c r="AA181" s="12"/>
      <c r="AB181" s="12"/>
      <c r="AC181" s="12"/>
      <c r="AD181" s="12" t="s">
        <v>183</v>
      </c>
      <c r="AE181" s="18"/>
    </row>
    <row r="182" spans="2:31" x14ac:dyDescent="0.35">
      <c r="B182" s="220" t="s">
        <v>555</v>
      </c>
      <c r="C182" s="168" t="s">
        <v>556</v>
      </c>
      <c r="D182" s="168" t="s">
        <v>186</v>
      </c>
      <c r="E182" s="168" t="s">
        <v>304</v>
      </c>
      <c r="F182" s="168" t="s">
        <v>526</v>
      </c>
      <c r="G182" s="168" t="s">
        <v>557</v>
      </c>
      <c r="H182" s="169" t="s">
        <v>218</v>
      </c>
      <c r="I182" s="169" t="s">
        <v>456</v>
      </c>
      <c r="J182" s="169">
        <v>14</v>
      </c>
      <c r="K182" s="169"/>
      <c r="L182" s="170"/>
      <c r="M182" s="169">
        <f>N182/6</f>
        <v>5</v>
      </c>
      <c r="N182" s="215">
        <v>30</v>
      </c>
      <c r="O182" s="1"/>
      <c r="Q182" s="18" t="str">
        <f t="shared" si="42"/>
        <v/>
      </c>
      <c r="R182" s="177"/>
      <c r="S182" s="177"/>
      <c r="T182" s="177"/>
      <c r="U182" s="177"/>
      <c r="V182" s="176"/>
      <c r="W182" s="176"/>
      <c r="X182" s="18" t="str">
        <f t="shared" si="42"/>
        <v/>
      </c>
      <c r="Y182" s="176"/>
      <c r="Z182" s="176"/>
      <c r="AA182" s="178"/>
      <c r="AB182" s="178"/>
      <c r="AC182" s="178"/>
      <c r="AD182" s="178" t="s">
        <v>183</v>
      </c>
      <c r="AE182" s="15"/>
    </row>
    <row r="183" spans="2:31" x14ac:dyDescent="0.35">
      <c r="B183" s="74" t="s">
        <v>558</v>
      </c>
      <c r="C183" s="2" t="s">
        <v>559</v>
      </c>
      <c r="D183" s="2" t="s">
        <v>241</v>
      </c>
      <c r="F183" s="2"/>
      <c r="G183" s="2"/>
      <c r="H183" s="16" t="s">
        <v>218</v>
      </c>
      <c r="I183" s="16" t="s">
        <v>456</v>
      </c>
      <c r="J183" s="16">
        <v>14</v>
      </c>
      <c r="K183" s="17">
        <v>46115</v>
      </c>
      <c r="L183" s="102"/>
      <c r="M183" s="4"/>
      <c r="N183" s="211"/>
      <c r="O183" s="1"/>
      <c r="Q183" s="18" t="str">
        <f t="shared" si="42"/>
        <v/>
      </c>
      <c r="R183" s="12" t="str">
        <f t="shared" si="42"/>
        <v/>
      </c>
      <c r="S183" s="12" t="str">
        <f t="shared" si="42"/>
        <v/>
      </c>
      <c r="T183" s="12" t="str">
        <f t="shared" si="42"/>
        <v/>
      </c>
      <c r="U183" s="12" t="str">
        <f t="shared" si="42"/>
        <v/>
      </c>
      <c r="V183" s="12" t="str">
        <f t="shared" si="42"/>
        <v/>
      </c>
      <c r="W183" s="12" t="str">
        <f t="shared" si="42"/>
        <v/>
      </c>
      <c r="X183" s="18" t="str">
        <f t="shared" si="42"/>
        <v/>
      </c>
      <c r="Y183" s="12" t="str">
        <f t="shared" si="42"/>
        <v/>
      </c>
      <c r="Z183" s="12" t="str">
        <f t="shared" si="42"/>
        <v/>
      </c>
      <c r="AA183" s="12" t="str">
        <f t="shared" si="42"/>
        <v/>
      </c>
      <c r="AB183" s="12" t="str">
        <f t="shared" si="42"/>
        <v/>
      </c>
      <c r="AC183" s="12" t="str">
        <f t="shared" si="42"/>
        <v/>
      </c>
      <c r="AD183" s="12" t="str">
        <f t="shared" si="42"/>
        <v>x</v>
      </c>
      <c r="AE183" s="18" t="str">
        <f t="shared" si="42"/>
        <v/>
      </c>
    </row>
    <row r="184" spans="2:31" x14ac:dyDescent="0.35">
      <c r="B184" s="74" t="s">
        <v>558</v>
      </c>
      <c r="C184" s="2" t="s">
        <v>560</v>
      </c>
      <c r="D184" s="2" t="s">
        <v>265</v>
      </c>
      <c r="F184" s="2"/>
      <c r="G184" s="2" t="s">
        <v>449</v>
      </c>
      <c r="H184" s="16" t="s">
        <v>218</v>
      </c>
      <c r="I184" s="16" t="s">
        <v>456</v>
      </c>
      <c r="J184" s="16">
        <v>14</v>
      </c>
      <c r="K184" s="17">
        <v>46122</v>
      </c>
      <c r="L184" s="102"/>
      <c r="M184" s="4"/>
      <c r="N184" s="211"/>
      <c r="O184" s="1"/>
      <c r="Q184" s="18" t="str">
        <f t="shared" si="42"/>
        <v/>
      </c>
      <c r="R184" s="12" t="str">
        <f t="shared" si="42"/>
        <v/>
      </c>
      <c r="S184" s="12" t="str">
        <f t="shared" si="42"/>
        <v/>
      </c>
      <c r="T184" s="12" t="str">
        <f t="shared" si="42"/>
        <v/>
      </c>
      <c r="U184" s="12" t="str">
        <f t="shared" si="42"/>
        <v/>
      </c>
      <c r="V184" s="12" t="str">
        <f t="shared" si="42"/>
        <v/>
      </c>
      <c r="W184" s="12" t="str">
        <f t="shared" si="42"/>
        <v/>
      </c>
      <c r="X184" s="18" t="str">
        <f t="shared" si="42"/>
        <v/>
      </c>
      <c r="Y184" s="12" t="str">
        <f t="shared" si="42"/>
        <v/>
      </c>
      <c r="Z184" s="12" t="str">
        <f t="shared" si="42"/>
        <v/>
      </c>
      <c r="AA184" s="12" t="str">
        <f t="shared" si="42"/>
        <v/>
      </c>
      <c r="AB184" s="12" t="str">
        <f t="shared" si="42"/>
        <v/>
      </c>
      <c r="AC184" s="12" t="str">
        <f t="shared" si="42"/>
        <v/>
      </c>
      <c r="AD184" s="12" t="str">
        <f t="shared" si="42"/>
        <v>x</v>
      </c>
      <c r="AE184" s="18" t="str">
        <f t="shared" si="42"/>
        <v/>
      </c>
    </row>
    <row r="185" spans="2:31" x14ac:dyDescent="0.35">
      <c r="B185" s="74" t="s">
        <v>561</v>
      </c>
      <c r="C185" s="2" t="s">
        <v>562</v>
      </c>
      <c r="D185" s="2" t="s">
        <v>241</v>
      </c>
      <c r="F185" s="2"/>
      <c r="G185" s="2"/>
      <c r="H185" s="16" t="s">
        <v>218</v>
      </c>
      <c r="I185" s="16" t="s">
        <v>456</v>
      </c>
      <c r="J185" s="16">
        <v>14</v>
      </c>
      <c r="K185" s="17">
        <v>46115</v>
      </c>
      <c r="L185" s="102"/>
      <c r="M185" s="4"/>
      <c r="N185" s="211"/>
      <c r="O185" s="1"/>
      <c r="Q185" s="18" t="str">
        <f t="shared" si="42"/>
        <v/>
      </c>
      <c r="R185" s="12" t="str">
        <f t="shared" si="42"/>
        <v/>
      </c>
      <c r="S185" s="12" t="str">
        <f t="shared" si="42"/>
        <v/>
      </c>
      <c r="T185" s="12" t="str">
        <f t="shared" si="42"/>
        <v/>
      </c>
      <c r="U185" s="12" t="str">
        <f t="shared" si="42"/>
        <v/>
      </c>
      <c r="V185" s="12" t="str">
        <f t="shared" si="42"/>
        <v/>
      </c>
      <c r="W185" s="12" t="str">
        <f t="shared" si="42"/>
        <v/>
      </c>
      <c r="X185" s="18" t="str">
        <f t="shared" si="42"/>
        <v/>
      </c>
      <c r="Y185" s="12" t="str">
        <f t="shared" si="42"/>
        <v/>
      </c>
      <c r="Z185" s="12" t="str">
        <f t="shared" si="42"/>
        <v/>
      </c>
      <c r="AA185" s="12" t="str">
        <f t="shared" si="42"/>
        <v/>
      </c>
      <c r="AB185" s="12" t="str">
        <f t="shared" si="42"/>
        <v/>
      </c>
      <c r="AC185" s="12" t="str">
        <f t="shared" si="42"/>
        <v/>
      </c>
      <c r="AD185" s="12" t="str">
        <f t="shared" si="42"/>
        <v>x</v>
      </c>
      <c r="AE185" s="18" t="str">
        <f t="shared" si="42"/>
        <v/>
      </c>
    </row>
    <row r="186" spans="2:31" x14ac:dyDescent="0.35">
      <c r="B186" s="74" t="s">
        <v>563</v>
      </c>
      <c r="C186" s="2" t="s">
        <v>564</v>
      </c>
      <c r="D186" s="2" t="s">
        <v>202</v>
      </c>
      <c r="F186" s="2"/>
      <c r="G186" s="2"/>
      <c r="H186" s="16" t="s">
        <v>218</v>
      </c>
      <c r="I186" s="16" t="s">
        <v>456</v>
      </c>
      <c r="J186" s="16">
        <v>14</v>
      </c>
      <c r="K186" s="17">
        <v>46115</v>
      </c>
      <c r="L186" s="102"/>
      <c r="M186" s="4"/>
      <c r="N186" s="211"/>
      <c r="O186" s="1"/>
      <c r="Q186" s="18" t="str">
        <f t="shared" si="42"/>
        <v/>
      </c>
      <c r="R186" s="12" t="str">
        <f t="shared" si="42"/>
        <v/>
      </c>
      <c r="S186" s="12" t="str">
        <f t="shared" si="42"/>
        <v/>
      </c>
      <c r="T186" s="12" t="str">
        <f t="shared" si="42"/>
        <v/>
      </c>
      <c r="U186" s="12" t="str">
        <f t="shared" si="42"/>
        <v/>
      </c>
      <c r="V186" s="12" t="str">
        <f t="shared" si="42"/>
        <v/>
      </c>
      <c r="W186" s="12" t="str">
        <f t="shared" si="42"/>
        <v/>
      </c>
      <c r="X186" s="18" t="str">
        <f t="shared" si="42"/>
        <v/>
      </c>
      <c r="Y186" s="12" t="str">
        <f t="shared" si="42"/>
        <v/>
      </c>
      <c r="Z186" s="12" t="str">
        <f t="shared" si="42"/>
        <v/>
      </c>
      <c r="AA186" s="12" t="str">
        <f t="shared" si="42"/>
        <v/>
      </c>
      <c r="AB186" s="12" t="str">
        <f t="shared" si="42"/>
        <v/>
      </c>
      <c r="AC186" s="12" t="str">
        <f t="shared" si="42"/>
        <v/>
      </c>
      <c r="AD186" s="12" t="str">
        <f t="shared" si="42"/>
        <v>x</v>
      </c>
      <c r="AE186" s="18" t="str">
        <f t="shared" si="42"/>
        <v/>
      </c>
    </row>
    <row r="187" spans="2:31" x14ac:dyDescent="0.35">
      <c r="B187" s="74" t="s">
        <v>565</v>
      </c>
      <c r="C187" s="2" t="s">
        <v>566</v>
      </c>
      <c r="D187" s="2" t="s">
        <v>202</v>
      </c>
      <c r="F187" s="2"/>
      <c r="G187" s="2"/>
      <c r="H187" s="16" t="s">
        <v>218</v>
      </c>
      <c r="I187" s="16" t="s">
        <v>456</v>
      </c>
      <c r="J187" s="16">
        <v>14</v>
      </c>
      <c r="K187" s="17">
        <v>46115</v>
      </c>
      <c r="L187" s="102"/>
      <c r="M187" s="4"/>
      <c r="N187" s="211"/>
      <c r="O187" s="1"/>
      <c r="Q187" s="18" t="str">
        <f t="shared" si="42"/>
        <v/>
      </c>
      <c r="R187" s="12" t="str">
        <f t="shared" si="42"/>
        <v/>
      </c>
      <c r="S187" s="12" t="str">
        <f t="shared" si="42"/>
        <v/>
      </c>
      <c r="T187" s="12" t="str">
        <f t="shared" si="42"/>
        <v/>
      </c>
      <c r="U187" s="12" t="str">
        <f t="shared" si="42"/>
        <v/>
      </c>
      <c r="V187" s="12" t="str">
        <f t="shared" si="42"/>
        <v/>
      </c>
      <c r="W187" s="12" t="str">
        <f t="shared" si="42"/>
        <v/>
      </c>
      <c r="X187" s="18" t="str">
        <f t="shared" si="42"/>
        <v/>
      </c>
      <c r="Y187" s="12" t="str">
        <f t="shared" si="42"/>
        <v/>
      </c>
      <c r="Z187" s="12" t="str">
        <f t="shared" si="42"/>
        <v/>
      </c>
      <c r="AA187" s="12" t="str">
        <f t="shared" si="42"/>
        <v/>
      </c>
      <c r="AB187" s="12" t="str">
        <f t="shared" si="42"/>
        <v/>
      </c>
      <c r="AC187" s="12" t="str">
        <f t="shared" si="42"/>
        <v/>
      </c>
      <c r="AD187" s="12" t="str">
        <f t="shared" si="42"/>
        <v>x</v>
      </c>
      <c r="AE187" s="18" t="str">
        <f t="shared" si="42"/>
        <v/>
      </c>
    </row>
    <row r="188" spans="2:31" x14ac:dyDescent="0.35">
      <c r="B188" s="74" t="s">
        <v>567</v>
      </c>
      <c r="C188" s="2" t="s">
        <v>568</v>
      </c>
      <c r="D188" s="2" t="s">
        <v>202</v>
      </c>
      <c r="F188" s="2"/>
      <c r="G188" s="2"/>
      <c r="H188" s="16" t="s">
        <v>218</v>
      </c>
      <c r="I188" s="16" t="s">
        <v>456</v>
      </c>
      <c r="J188" s="16">
        <v>14</v>
      </c>
      <c r="K188" s="17">
        <v>46115</v>
      </c>
      <c r="L188" s="102"/>
      <c r="M188" s="4"/>
      <c r="N188" s="211"/>
      <c r="O188" s="1"/>
      <c r="Q188" s="18" t="str">
        <f t="shared" si="42"/>
        <v/>
      </c>
      <c r="R188" s="12" t="str">
        <f t="shared" si="42"/>
        <v/>
      </c>
      <c r="S188" s="12" t="str">
        <f t="shared" si="42"/>
        <v/>
      </c>
      <c r="T188" s="12" t="str">
        <f t="shared" si="42"/>
        <v/>
      </c>
      <c r="U188" s="12" t="str">
        <f t="shared" si="42"/>
        <v/>
      </c>
      <c r="V188" s="12" t="str">
        <f t="shared" si="42"/>
        <v/>
      </c>
      <c r="W188" s="12" t="str">
        <f t="shared" si="42"/>
        <v/>
      </c>
      <c r="X188" s="18" t="str">
        <f t="shared" si="42"/>
        <v/>
      </c>
      <c r="Y188" s="12" t="str">
        <f t="shared" si="42"/>
        <v/>
      </c>
      <c r="Z188" s="12" t="str">
        <f t="shared" si="42"/>
        <v/>
      </c>
      <c r="AA188" s="12" t="str">
        <f t="shared" si="42"/>
        <v/>
      </c>
      <c r="AB188" s="12" t="str">
        <f t="shared" si="42"/>
        <v/>
      </c>
      <c r="AC188" s="12" t="str">
        <f t="shared" si="42"/>
        <v/>
      </c>
      <c r="AD188" s="12" t="str">
        <f t="shared" si="42"/>
        <v>x</v>
      </c>
      <c r="AE188" s="18" t="str">
        <f t="shared" si="42"/>
        <v/>
      </c>
    </row>
    <row r="189" spans="2:31" x14ac:dyDescent="0.35">
      <c r="B189" s="74" t="s">
        <v>569</v>
      </c>
      <c r="C189" s="2" t="s">
        <v>570</v>
      </c>
      <c r="D189" s="2" t="s">
        <v>202</v>
      </c>
      <c r="F189" s="2"/>
      <c r="G189" s="2"/>
      <c r="H189" s="16" t="s">
        <v>218</v>
      </c>
      <c r="I189" s="16" t="s">
        <v>456</v>
      </c>
      <c r="J189" s="16">
        <v>14</v>
      </c>
      <c r="K189" s="17">
        <v>46115</v>
      </c>
      <c r="L189" s="102"/>
      <c r="M189" s="4"/>
      <c r="N189" s="211"/>
      <c r="O189" s="1"/>
      <c r="Q189" s="18" t="str">
        <f t="shared" si="42"/>
        <v/>
      </c>
      <c r="R189" s="12" t="str">
        <f t="shared" si="42"/>
        <v/>
      </c>
      <c r="S189" s="12" t="str">
        <f t="shared" si="42"/>
        <v/>
      </c>
      <c r="T189" s="12" t="str">
        <f t="shared" si="42"/>
        <v/>
      </c>
      <c r="U189" s="12" t="str">
        <f t="shared" si="42"/>
        <v/>
      </c>
      <c r="V189" s="12" t="str">
        <f t="shared" si="42"/>
        <v/>
      </c>
      <c r="W189" s="12" t="str">
        <f t="shared" si="42"/>
        <v/>
      </c>
      <c r="X189" s="18" t="str">
        <f t="shared" si="42"/>
        <v/>
      </c>
      <c r="Y189" s="12" t="str">
        <f t="shared" si="42"/>
        <v/>
      </c>
      <c r="Z189" s="12" t="str">
        <f t="shared" si="42"/>
        <v/>
      </c>
      <c r="AA189" s="12" t="str">
        <f t="shared" si="42"/>
        <v/>
      </c>
      <c r="AB189" s="12" t="str">
        <f t="shared" si="42"/>
        <v/>
      </c>
      <c r="AC189" s="12" t="str">
        <f t="shared" si="42"/>
        <v/>
      </c>
      <c r="AD189" s="12" t="str">
        <f t="shared" si="42"/>
        <v>x</v>
      </c>
      <c r="AE189" s="18" t="str">
        <f t="shared" si="42"/>
        <v/>
      </c>
    </row>
    <row r="190" spans="2:31" x14ac:dyDescent="0.35">
      <c r="B190" s="74" t="s">
        <v>571</v>
      </c>
      <c r="C190" s="2" t="s">
        <v>572</v>
      </c>
      <c r="D190" s="2" t="s">
        <v>202</v>
      </c>
      <c r="F190" s="2"/>
      <c r="G190" s="2"/>
      <c r="H190" s="16" t="s">
        <v>218</v>
      </c>
      <c r="I190" s="16" t="s">
        <v>456</v>
      </c>
      <c r="J190" s="16">
        <v>14</v>
      </c>
      <c r="K190" s="17">
        <v>46115</v>
      </c>
      <c r="L190" s="102"/>
      <c r="M190" s="4"/>
      <c r="N190" s="211"/>
      <c r="O190" s="1"/>
      <c r="Q190" s="18" t="str">
        <f t="shared" si="42"/>
        <v/>
      </c>
      <c r="R190" s="12" t="str">
        <f t="shared" si="42"/>
        <v/>
      </c>
      <c r="S190" s="12" t="str">
        <f t="shared" si="42"/>
        <v/>
      </c>
      <c r="T190" s="12" t="str">
        <f t="shared" si="42"/>
        <v/>
      </c>
      <c r="U190" s="12" t="str">
        <f t="shared" si="42"/>
        <v/>
      </c>
      <c r="V190" s="12" t="str">
        <f t="shared" si="42"/>
        <v/>
      </c>
      <c r="W190" s="12" t="str">
        <f t="shared" si="42"/>
        <v/>
      </c>
      <c r="X190" s="18" t="str">
        <f t="shared" si="42"/>
        <v/>
      </c>
      <c r="Y190" s="12" t="str">
        <f t="shared" si="42"/>
        <v/>
      </c>
      <c r="Z190" s="12" t="str">
        <f t="shared" si="42"/>
        <v/>
      </c>
      <c r="AA190" s="12" t="str">
        <f t="shared" si="42"/>
        <v/>
      </c>
      <c r="AB190" s="12" t="str">
        <f t="shared" si="42"/>
        <v/>
      </c>
      <c r="AC190" s="12" t="str">
        <f t="shared" si="42"/>
        <v/>
      </c>
      <c r="AD190" s="12" t="str">
        <f t="shared" si="42"/>
        <v>x</v>
      </c>
      <c r="AE190" s="18" t="str">
        <f t="shared" si="42"/>
        <v/>
      </c>
    </row>
    <row r="191" spans="2:31" x14ac:dyDescent="0.35">
      <c r="B191" s="220" t="s">
        <v>573</v>
      </c>
      <c r="C191" s="168" t="s">
        <v>574</v>
      </c>
      <c r="D191" s="168" t="s">
        <v>186</v>
      </c>
      <c r="E191" s="168" t="s">
        <v>330</v>
      </c>
      <c r="F191" s="168" t="s">
        <v>526</v>
      </c>
      <c r="G191" s="168" t="s">
        <v>575</v>
      </c>
      <c r="H191" s="169" t="s">
        <v>218</v>
      </c>
      <c r="I191" s="169" t="s">
        <v>456</v>
      </c>
      <c r="J191" s="169">
        <v>14</v>
      </c>
      <c r="K191" s="169"/>
      <c r="L191" s="170"/>
      <c r="M191" s="169">
        <f>N191/6</f>
        <v>5</v>
      </c>
      <c r="N191" s="215">
        <v>30</v>
      </c>
      <c r="O191" s="1"/>
      <c r="Q191" s="18" t="str">
        <f t="shared" ref="Q191:Q194" si="43">IF($J191=Q$2,"x","")</f>
        <v/>
      </c>
      <c r="R191" s="177"/>
      <c r="S191" s="177"/>
      <c r="T191" s="177"/>
      <c r="U191" s="177"/>
      <c r="V191" s="176"/>
      <c r="W191" s="176"/>
      <c r="X191" s="18" t="str">
        <f t="shared" ref="X191:X194" si="44">IF($J191=X$2,"x","")</f>
        <v/>
      </c>
      <c r="Y191" s="176"/>
      <c r="Z191" s="176"/>
      <c r="AA191" s="178"/>
      <c r="AB191" s="178"/>
      <c r="AC191" s="178"/>
      <c r="AD191" s="178" t="s">
        <v>183</v>
      </c>
      <c r="AE191" s="15"/>
    </row>
    <row r="192" spans="2:31" x14ac:dyDescent="0.35">
      <c r="B192" s="220" t="s">
        <v>576</v>
      </c>
      <c r="C192" s="168" t="s">
        <v>577</v>
      </c>
      <c r="D192" s="168" t="s">
        <v>186</v>
      </c>
      <c r="E192" s="168" t="s">
        <v>256</v>
      </c>
      <c r="F192" s="168"/>
      <c r="G192" s="168" t="s">
        <v>188</v>
      </c>
      <c r="H192" s="169" t="s">
        <v>257</v>
      </c>
      <c r="I192" s="169" t="s">
        <v>456</v>
      </c>
      <c r="J192" s="169">
        <v>14</v>
      </c>
      <c r="K192" s="169"/>
      <c r="L192" s="170"/>
      <c r="M192" s="169">
        <f>N192/6</f>
        <v>12</v>
      </c>
      <c r="N192" s="215">
        <v>72</v>
      </c>
      <c r="O192" s="1"/>
      <c r="Q192" s="18" t="str">
        <f t="shared" si="43"/>
        <v/>
      </c>
      <c r="R192" s="177"/>
      <c r="S192" s="177"/>
      <c r="T192" s="177"/>
      <c r="U192" s="177"/>
      <c r="V192" s="176"/>
      <c r="W192" s="176"/>
      <c r="X192" s="18" t="str">
        <f t="shared" si="44"/>
        <v/>
      </c>
      <c r="Y192" s="176"/>
      <c r="Z192" s="176"/>
      <c r="AA192" s="178"/>
      <c r="AB192" s="178"/>
      <c r="AC192" s="178"/>
      <c r="AD192" s="178" t="s">
        <v>183</v>
      </c>
      <c r="AE192" s="15"/>
    </row>
    <row r="193" spans="2:31" x14ac:dyDescent="0.35">
      <c r="B193" s="217" t="s">
        <v>181</v>
      </c>
      <c r="C193" s="157" t="s">
        <v>578</v>
      </c>
      <c r="D193" s="158"/>
      <c r="E193" s="158"/>
      <c r="F193" s="158"/>
      <c r="G193" s="158"/>
      <c r="H193" s="158"/>
      <c r="I193" s="158"/>
      <c r="J193" s="159">
        <v>15</v>
      </c>
      <c r="K193" s="160"/>
      <c r="L193" s="161"/>
      <c r="M193" s="158"/>
      <c r="N193" s="209"/>
      <c r="O193" s="1"/>
      <c r="Q193" s="18" t="str">
        <f t="shared" si="43"/>
        <v/>
      </c>
      <c r="R193" s="177"/>
      <c r="S193" s="177"/>
      <c r="T193" s="177"/>
      <c r="U193" s="177"/>
      <c r="V193" s="176"/>
      <c r="W193" s="176"/>
      <c r="X193" s="18" t="str">
        <f t="shared" si="44"/>
        <v/>
      </c>
      <c r="Y193" s="176"/>
      <c r="Z193" s="176"/>
      <c r="AA193" s="178"/>
      <c r="AB193" s="178"/>
      <c r="AC193" s="178"/>
      <c r="AD193" s="178"/>
      <c r="AE193" s="15" t="s">
        <v>183</v>
      </c>
    </row>
    <row r="194" spans="2:31" x14ac:dyDescent="0.35">
      <c r="B194" s="220" t="s">
        <v>579</v>
      </c>
      <c r="C194" s="168" t="s">
        <v>580</v>
      </c>
      <c r="D194" s="168" t="s">
        <v>193</v>
      </c>
      <c r="E194" s="168"/>
      <c r="F194" s="168"/>
      <c r="G194" s="168" t="s">
        <v>581</v>
      </c>
      <c r="H194" s="170" t="s">
        <v>189</v>
      </c>
      <c r="I194" s="170" t="s">
        <v>582</v>
      </c>
      <c r="J194" s="170">
        <v>15</v>
      </c>
      <c r="K194" s="171" t="s">
        <v>583</v>
      </c>
      <c r="L194" s="172"/>
      <c r="M194" s="169"/>
      <c r="N194" s="216"/>
      <c r="O194" s="3" t="s">
        <v>584</v>
      </c>
      <c r="Q194" s="18" t="str">
        <f t="shared" si="43"/>
        <v/>
      </c>
      <c r="R194" s="177"/>
      <c r="S194" s="177"/>
      <c r="T194" s="177"/>
      <c r="U194" s="177"/>
      <c r="V194" s="14"/>
      <c r="W194" s="14"/>
      <c r="X194" s="18" t="str">
        <f t="shared" si="44"/>
        <v/>
      </c>
      <c r="Y194" s="14"/>
      <c r="Z194" s="14"/>
      <c r="AA194" s="178"/>
      <c r="AB194" s="178"/>
      <c r="AC194" s="178"/>
      <c r="AD194" s="178"/>
      <c r="AE194" s="15" t="s">
        <v>183</v>
      </c>
    </row>
    <row r="195" spans="2:31" x14ac:dyDescent="0.35">
      <c r="L195" s="1"/>
    </row>
    <row r="196" spans="2:31" x14ac:dyDescent="0.35">
      <c r="L196" s="1"/>
    </row>
    <row r="197" spans="2:31" x14ac:dyDescent="0.35">
      <c r="L197" s="1"/>
    </row>
    <row r="198" spans="2:31" x14ac:dyDescent="0.35">
      <c r="L198" s="1"/>
    </row>
    <row r="199" spans="2:31" x14ac:dyDescent="0.35">
      <c r="L199" s="1"/>
    </row>
  </sheetData>
  <sheetProtection algorithmName="SHA-512" hashValue="4Jv8lDJRgrrGDSE00c6HxrbkmnKiObGbsVjUsIXc1vMAKI8gzxMBLWaWNREab84zNbmEPc49+opZsFvm5SQ5zA==" saltValue="Q+/miUkBEdY4V1I5Hi5fzw==" spinCount="100000" sheet="1" autoFilter="0"/>
  <autoFilter ref="B2:M199" xr:uid="{2200015D-A9EA-4F1D-86AA-8E714A1EC1C5}">
    <sortState ref="B3:M199">
      <sortCondition ref="J2:J199"/>
    </sortState>
  </autoFilter>
  <pageMargins left="0.7" right="0.7" top="0.75" bottom="0.75" header="0.3" footer="0.3"/>
  <pageSetup scale="42" orientation="portrait" r:id="rId1"/>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E744-87AD-4BD7-A13C-5D5EE7A7385F}">
  <dimension ref="A1:G43"/>
  <sheetViews>
    <sheetView view="pageBreakPreview" zoomScale="85" zoomScaleNormal="90" zoomScaleSheetLayoutView="85" workbookViewId="0">
      <pane xSplit="4" ySplit="2" topLeftCell="E4" activePane="bottomRight" state="frozen"/>
      <selection pane="topRight" activeCell="G1" sqref="G1"/>
      <selection pane="bottomLeft" activeCell="A6" sqref="A6"/>
      <selection pane="bottomRight" activeCell="G5" sqref="G5"/>
    </sheetView>
  </sheetViews>
  <sheetFormatPr defaultColWidth="8.6328125" defaultRowHeight="14.5" x14ac:dyDescent="0.35"/>
  <cols>
    <col min="1" max="1" width="3.453125" style="2" customWidth="1"/>
    <col min="2" max="2" width="8.6328125" style="1" customWidth="1"/>
    <col min="3" max="3" width="45.453125" style="2" customWidth="1"/>
    <col min="4" max="4" width="13.453125" style="2" hidden="1" customWidth="1"/>
    <col min="5" max="7" width="45.453125" style="2" customWidth="1"/>
    <col min="8" max="8" width="4.453125" style="2" customWidth="1"/>
    <col min="9" max="16384" width="8.6328125" style="2"/>
  </cols>
  <sheetData>
    <row r="1" spans="1:7" ht="15" thickBot="1" x14ac:dyDescent="0.4"/>
    <row r="2" spans="1:7" ht="29.5" thickBot="1" x14ac:dyDescent="0.4">
      <c r="B2" s="190" t="s">
        <v>171</v>
      </c>
      <c r="C2" s="191" t="str">
        <f>'Schedule and Progress'!C2</f>
        <v>Description of Tasks - TPJ655</v>
      </c>
      <c r="D2" s="191" t="s">
        <v>173</v>
      </c>
      <c r="E2" s="152" t="s">
        <v>585</v>
      </c>
      <c r="F2" s="152" t="s">
        <v>586</v>
      </c>
      <c r="G2" s="192" t="s">
        <v>587</v>
      </c>
    </row>
    <row r="3" spans="1:7" x14ac:dyDescent="0.35">
      <c r="A3" s="61"/>
      <c r="B3" s="81"/>
      <c r="C3" s="104"/>
      <c r="D3" s="82"/>
      <c r="E3" s="82"/>
      <c r="F3" s="82"/>
      <c r="G3" s="193"/>
    </row>
    <row r="4" spans="1:7" ht="15" thickBot="1" x14ac:dyDescent="0.4">
      <c r="A4" s="61"/>
      <c r="B4" s="86" t="s">
        <v>588</v>
      </c>
      <c r="C4" s="84" t="b">
        <v>0</v>
      </c>
      <c r="D4" s="87"/>
      <c r="E4" s="87"/>
      <c r="F4" s="87"/>
      <c r="G4" s="194"/>
    </row>
    <row r="5" spans="1:7" ht="87" x14ac:dyDescent="0.35">
      <c r="A5" s="61" t="s">
        <v>589</v>
      </c>
      <c r="B5" s="77" t="s">
        <v>213</v>
      </c>
      <c r="C5" s="65" t="str">
        <f>_xlfn.XLOOKUP($B5,'Schedule and Progress'!$B$2:$B$187,'Schedule and Progress'!$C$2:$C$187)</f>
        <v xml:space="preserve">  Project Charter - include updates to all tabs (esp. Contract, Budget, BOM)</v>
      </c>
      <c r="D5" s="80" t="str">
        <f>_xlfn.XLOOKUP($B5,'Schedule and Progress'!$B$2:$B$187,'Schedule and Progress'!$F$2:$F$187)</f>
        <v>Dropbox1</v>
      </c>
      <c r="E5" s="145" t="s">
        <v>590</v>
      </c>
      <c r="F5" s="146" t="s">
        <v>591</v>
      </c>
      <c r="G5" s="195"/>
    </row>
    <row r="6" spans="1:7" x14ac:dyDescent="0.35">
      <c r="A6" s="61"/>
      <c r="B6" s="76"/>
      <c r="C6" s="71"/>
      <c r="D6" s="71"/>
      <c r="E6" s="147"/>
      <c r="F6" s="148"/>
      <c r="G6" s="196"/>
    </row>
    <row r="7" spans="1:7" ht="87" x14ac:dyDescent="0.35">
      <c r="A7" s="61" t="s">
        <v>589</v>
      </c>
      <c r="B7" s="77" t="s">
        <v>221</v>
      </c>
      <c r="C7" s="65" t="str">
        <f>_xlfn.XLOOKUP($B7,'Schedule and Progress'!$B$2:$B$187,'Schedule and Progress'!$C$2:$C$187)</f>
        <v xml:space="preserve">  Confirm: MCU, identify number of GPIO pins available</v>
      </c>
      <c r="D7" s="80">
        <f>_xlfn.XLOOKUP($B7,'Schedule and Progress'!$B$2:$B$187,'Schedule and Progress'!$F$2:$F$187)</f>
        <v>0</v>
      </c>
      <c r="E7" s="145" t="s">
        <v>592</v>
      </c>
      <c r="F7" s="149" t="s">
        <v>593</v>
      </c>
      <c r="G7" s="195"/>
    </row>
    <row r="8" spans="1:7" x14ac:dyDescent="0.35">
      <c r="A8" s="61"/>
      <c r="B8" s="76"/>
      <c r="C8" s="71"/>
      <c r="D8" s="71"/>
      <c r="E8" s="147"/>
      <c r="F8" s="148"/>
      <c r="G8" s="196"/>
    </row>
    <row r="9" spans="1:7" ht="87" x14ac:dyDescent="0.35">
      <c r="A9" s="61" t="s">
        <v>589</v>
      </c>
      <c r="B9" s="77" t="s">
        <v>225</v>
      </c>
      <c r="C9" s="65" t="str">
        <f>_xlfn.XLOOKUP($B9,'Schedule and Progress'!$B$2:$B$187,'Schedule and Progress'!$C$2:$C$187)</f>
        <v xml:space="preserve">  Include clear purpose of IoT dashboard integration</v>
      </c>
      <c r="D9" s="80">
        <f>_xlfn.XLOOKUP($B9,'Schedule and Progress'!$B$2:$B$187,'Schedule and Progress'!$F$2:$F$187)</f>
        <v>0</v>
      </c>
      <c r="E9" s="145" t="s">
        <v>594</v>
      </c>
      <c r="F9" s="149" t="s">
        <v>595</v>
      </c>
      <c r="G9" s="195"/>
    </row>
    <row r="10" spans="1:7" x14ac:dyDescent="0.35">
      <c r="A10" s="61"/>
      <c r="B10" s="76"/>
      <c r="C10" s="71"/>
      <c r="D10" s="71"/>
      <c r="E10" s="147"/>
      <c r="F10" s="148"/>
      <c r="G10" s="196"/>
    </row>
    <row r="11" spans="1:7" ht="159.5" x14ac:dyDescent="0.35">
      <c r="A11" s="61" t="s">
        <v>589</v>
      </c>
      <c r="B11" s="77" t="s">
        <v>229</v>
      </c>
      <c r="C11" s="65" t="str">
        <f>_xlfn.XLOOKUP($B11,'Schedule and Progress'!$B$2:$B$187,'Schedule and Progress'!$C$2:$C$187)</f>
        <v xml:space="preserve">  Presentation: full project overview - include audio in .pptx</v>
      </c>
      <c r="D11" s="80" t="str">
        <f>_xlfn.XLOOKUP($B11,'Schedule and Progress'!$B$2:$B$187,'Schedule and Progress'!$F$2:$F$187)</f>
        <v>Dropbox1</v>
      </c>
      <c r="E11" s="145" t="s">
        <v>596</v>
      </c>
      <c r="F11" s="149" t="s">
        <v>597</v>
      </c>
      <c r="G11" s="195"/>
    </row>
    <row r="12" spans="1:7" x14ac:dyDescent="0.35">
      <c r="A12" s="61"/>
      <c r="B12" s="76"/>
      <c r="C12" s="71"/>
      <c r="D12" s="71"/>
      <c r="E12" s="147"/>
      <c r="F12" s="148"/>
      <c r="G12" s="196"/>
    </row>
    <row r="13" spans="1:7" ht="87" x14ac:dyDescent="0.35">
      <c r="A13" s="61" t="s">
        <v>589</v>
      </c>
      <c r="B13" s="77" t="s">
        <v>237</v>
      </c>
      <c r="C13" s="65" t="str">
        <f>_xlfn.XLOOKUP($B13,'Schedule and Progress'!$B$2:$B$187,'Schedule and Progress'!$C$2:$C$187)</f>
        <v xml:space="preserve">  List: Purpose of each input, each output</v>
      </c>
      <c r="D13" s="80">
        <f>_xlfn.XLOOKUP($B13,'Schedule and Progress'!$B$2:$B$187,'Schedule and Progress'!$F$2:$F$187)</f>
        <v>0</v>
      </c>
      <c r="E13" s="145" t="s">
        <v>598</v>
      </c>
      <c r="F13" s="149" t="s">
        <v>599</v>
      </c>
      <c r="G13" s="195"/>
    </row>
    <row r="14" spans="1:7" x14ac:dyDescent="0.35">
      <c r="A14" s="61"/>
      <c r="B14" s="76"/>
      <c r="C14" s="71"/>
      <c r="D14" s="71"/>
      <c r="E14" s="147"/>
      <c r="F14" s="148"/>
      <c r="G14" s="196"/>
    </row>
    <row r="15" spans="1:7" ht="87" x14ac:dyDescent="0.35">
      <c r="A15" s="61" t="s">
        <v>589</v>
      </c>
      <c r="B15" s="77" t="s">
        <v>239</v>
      </c>
      <c r="C15" s="65" t="str">
        <f>_xlfn.XLOOKUP($B15,'Schedule and Progress'!$B$2:$B$187,'Schedule and Progress'!$C$2:$C$187)</f>
        <v xml:space="preserve">  System Block Diagram (SBD) - use Visio or yEd to export .jpg</v>
      </c>
      <c r="D15" s="80">
        <f>_xlfn.XLOOKUP($B15,'Schedule and Progress'!$B$2:$B$187,'Schedule and Progress'!$F$2:$F$187)</f>
        <v>0</v>
      </c>
      <c r="E15" s="145" t="s">
        <v>600</v>
      </c>
      <c r="F15" s="149" t="s">
        <v>601</v>
      </c>
      <c r="G15" s="195"/>
    </row>
    <row r="16" spans="1:7" x14ac:dyDescent="0.35">
      <c r="A16" s="61"/>
      <c r="B16" s="76"/>
      <c r="C16" s="71"/>
      <c r="D16" s="71"/>
      <c r="E16" s="147"/>
      <c r="F16" s="148"/>
      <c r="G16" s="196"/>
    </row>
    <row r="17" spans="1:7" ht="87" x14ac:dyDescent="0.35">
      <c r="A17" s="61" t="s">
        <v>589</v>
      </c>
      <c r="B17" s="77" t="s">
        <v>243</v>
      </c>
      <c r="C17" s="65" t="str">
        <f>_xlfn.XLOOKUP($B17,'Schedule and Progress'!$B$2:$B$187,'Schedule and Progress'!$C$2:$C$187)</f>
        <v xml:space="preserve">  Mechanical Drawing of entire project</v>
      </c>
      <c r="D17" s="80">
        <f>_xlfn.XLOOKUP($B17,'Schedule and Progress'!$B$2:$B$187,'Schedule and Progress'!$F$2:$F$187)</f>
        <v>0</v>
      </c>
      <c r="E17" s="145" t="s">
        <v>602</v>
      </c>
      <c r="F17" s="149" t="s">
        <v>603</v>
      </c>
      <c r="G17" s="195"/>
    </row>
    <row r="18" spans="1:7" x14ac:dyDescent="0.35">
      <c r="A18" s="61"/>
      <c r="B18" s="76"/>
      <c r="C18" s="71"/>
      <c r="D18" s="71"/>
      <c r="E18" s="147"/>
      <c r="F18" s="148"/>
      <c r="G18" s="196"/>
    </row>
    <row r="19" spans="1:7" ht="116" x14ac:dyDescent="0.35">
      <c r="A19" s="61"/>
      <c r="B19" s="77" t="s">
        <v>246</v>
      </c>
      <c r="C19" s="65" t="str">
        <f>_xlfn.XLOOKUP($B19,'Schedule and Progress'!$B$2:$B$187,'Schedule and Progress'!$C$2:$C$187)</f>
        <v xml:space="preserve">  Introduction - introduce project, why this idea, hook</v>
      </c>
      <c r="D19" s="80">
        <f>_xlfn.XLOOKUP($B19,'Schedule and Progress'!$B$2:$B$187,'Schedule and Progress'!$F$2:$F$187)</f>
        <v>0</v>
      </c>
      <c r="E19" s="145" t="s">
        <v>604</v>
      </c>
      <c r="F19" s="149" t="s">
        <v>605</v>
      </c>
      <c r="G19" s="195"/>
    </row>
    <row r="20" spans="1:7" x14ac:dyDescent="0.35">
      <c r="A20" s="61"/>
      <c r="B20" s="76"/>
      <c r="C20" s="71"/>
      <c r="D20" s="103"/>
      <c r="E20" s="155"/>
      <c r="F20" s="148"/>
      <c r="G20" s="196"/>
    </row>
    <row r="21" spans="1:7" ht="116" x14ac:dyDescent="0.35">
      <c r="A21" s="61"/>
      <c r="B21" s="77" t="s">
        <v>249</v>
      </c>
      <c r="C21" s="65" t="str">
        <f>_xlfn.XLOOKUP($B21,'Schedule and Progress'!$B$2:$B$187,'Schedule and Progress'!$C$2:$C$187)</f>
        <v xml:space="preserve">  Start Background Research - find 3 similar projects, discuss</v>
      </c>
      <c r="D21" s="80">
        <f>_xlfn.XLOOKUP($B21,'Schedule and Progress'!$B$2:$B$187,'Schedule and Progress'!$F$2:$F$187)</f>
        <v>0</v>
      </c>
      <c r="E21" s="145" t="s">
        <v>606</v>
      </c>
      <c r="F21" s="149" t="s">
        <v>607</v>
      </c>
      <c r="G21" s="195"/>
    </row>
    <row r="22" spans="1:7" ht="15" thickBot="1" x14ac:dyDescent="0.4">
      <c r="A22" s="61"/>
      <c r="B22" s="76"/>
      <c r="C22" s="71"/>
      <c r="D22" s="103"/>
      <c r="E22" s="155"/>
      <c r="F22" s="148"/>
      <c r="G22" s="196"/>
    </row>
    <row r="23" spans="1:7" x14ac:dyDescent="0.35">
      <c r="A23" s="61"/>
      <c r="B23" s="81"/>
      <c r="C23" s="104"/>
      <c r="D23" s="82"/>
      <c r="E23" s="104"/>
      <c r="F23" s="104"/>
      <c r="G23" s="193"/>
    </row>
    <row r="24" spans="1:7" ht="15" thickBot="1" x14ac:dyDescent="0.4">
      <c r="A24" s="61"/>
      <c r="B24" s="86" t="s">
        <v>608</v>
      </c>
      <c r="C24" s="84" t="b">
        <v>0</v>
      </c>
      <c r="D24" s="87"/>
      <c r="E24" s="153"/>
      <c r="F24" s="153"/>
      <c r="G24" s="194"/>
    </row>
    <row r="25" spans="1:7" ht="58" x14ac:dyDescent="0.35">
      <c r="B25" s="77" t="s">
        <v>263</v>
      </c>
      <c r="C25" s="65" t="str">
        <f>_xlfn.XLOOKUP($B25,'Schedule and Progress'!$B$2:$B$187,'Schedule and Progress'!$C$2:$C$187)</f>
        <v xml:space="preserve">  Demo: Coding IDE installed with Extensions - (PlatformIO, etc)</v>
      </c>
      <c r="D25" s="80">
        <f>_xlfn.XLOOKUP($B25,'Schedule and Progress'!$B$2:$B$187,'Schedule and Progress'!$F$2:$F$187)</f>
        <v>0</v>
      </c>
      <c r="E25" s="145" t="s">
        <v>609</v>
      </c>
      <c r="F25" s="149" t="s">
        <v>610</v>
      </c>
      <c r="G25" s="197"/>
    </row>
    <row r="26" spans="1:7" x14ac:dyDescent="0.35">
      <c r="B26" s="76"/>
      <c r="C26" s="71"/>
      <c r="D26" s="71"/>
      <c r="E26" s="147"/>
      <c r="F26" s="148"/>
      <c r="G26" s="196"/>
    </row>
    <row r="27" spans="1:7" ht="72.5" x14ac:dyDescent="0.35">
      <c r="B27" s="77" t="s">
        <v>273</v>
      </c>
      <c r="C27" s="65" t="str">
        <f>_xlfn.XLOOKUP($B27,'Schedule and Progress'!$B$2:$B$187,'Schedule and Progress'!$C$2:$C$187)</f>
        <v xml:space="preserve">  §15B - Project Electrical Wiring Diagram - use Fusion to export .jpg</v>
      </c>
      <c r="D27" s="80">
        <f>_xlfn.XLOOKUP($B27,'Schedule and Progress'!$B$2:$B$187,'Schedule and Progress'!$F$2:$F$187)</f>
        <v>0</v>
      </c>
      <c r="E27" s="145" t="s">
        <v>611</v>
      </c>
      <c r="F27" s="149" t="s">
        <v>612</v>
      </c>
      <c r="G27" s="195"/>
    </row>
    <row r="28" spans="1:7" ht="15" thickBot="1" x14ac:dyDescent="0.4">
      <c r="B28" s="76"/>
      <c r="C28" s="71"/>
      <c r="D28" s="71"/>
      <c r="E28" s="147"/>
      <c r="F28" s="148"/>
      <c r="G28" s="196"/>
    </row>
    <row r="29" spans="1:7" x14ac:dyDescent="0.35">
      <c r="A29" s="61"/>
      <c r="B29" s="81"/>
      <c r="C29" s="104"/>
      <c r="D29" s="82"/>
      <c r="E29" s="104"/>
      <c r="F29" s="104"/>
      <c r="G29" s="193"/>
    </row>
    <row r="30" spans="1:7" ht="15" thickBot="1" x14ac:dyDescent="0.4">
      <c r="B30" s="83" t="s">
        <v>613</v>
      </c>
      <c r="C30" s="84" t="b">
        <v>0</v>
      </c>
      <c r="D30" s="85"/>
      <c r="E30" s="154"/>
      <c r="F30" s="154"/>
      <c r="G30" s="198"/>
    </row>
    <row r="31" spans="1:7" ht="130.5" x14ac:dyDescent="0.35">
      <c r="B31" s="77" t="s">
        <v>302</v>
      </c>
      <c r="C31" s="65" t="str">
        <f>_xlfn.XLOOKUP($B31,'Schedule and Progress'!$B$2:$B$187,'Schedule and Progress'!$C$2:$C$187)</f>
        <v xml:space="preserve">  Technical Report Draft - full shell file with TOC, TOF, header/footer, diagrams</v>
      </c>
      <c r="D31" s="80" t="str">
        <f>_xlfn.XLOOKUP($B31,'Schedule and Progress'!$B$2:$B$187,'Schedule and Progress'!$F$2:$F$187)</f>
        <v>Dropbox2</v>
      </c>
      <c r="E31" s="145" t="s">
        <v>614</v>
      </c>
      <c r="F31" s="146" t="s">
        <v>615</v>
      </c>
      <c r="G31" s="197"/>
    </row>
    <row r="32" spans="1:7" x14ac:dyDescent="0.35">
      <c r="B32" s="76"/>
      <c r="C32" s="71"/>
      <c r="D32" s="71"/>
      <c r="E32" s="148"/>
      <c r="F32" s="148"/>
      <c r="G32" s="196"/>
    </row>
    <row r="33" spans="2:7" ht="116" x14ac:dyDescent="0.35">
      <c r="B33" s="77" t="s">
        <v>314</v>
      </c>
      <c r="C33" s="65" t="str">
        <f>_xlfn.XLOOKUP($B33,'Schedule and Progress'!$B$2:$B$187,'Schedule and Progress'!$C$2:$C$187)</f>
        <v xml:space="preserve">  §05. Background Research &amp; Development (fully developed section now)</v>
      </c>
      <c r="D33" s="80">
        <f>_xlfn.XLOOKUP($B33,'Schedule and Progress'!$B$2:$B$187,'Schedule and Progress'!$F$2:$F$187)</f>
        <v>0</v>
      </c>
      <c r="E33" s="145" t="s">
        <v>616</v>
      </c>
      <c r="F33" s="149" t="s">
        <v>617</v>
      </c>
      <c r="G33" s="197"/>
    </row>
    <row r="34" spans="2:7" x14ac:dyDescent="0.35">
      <c r="B34" s="76"/>
      <c r="C34" s="71"/>
      <c r="D34" s="71"/>
      <c r="E34" s="148"/>
      <c r="F34" s="148"/>
      <c r="G34" s="196"/>
    </row>
    <row r="35" spans="2:7" ht="116" x14ac:dyDescent="0.35">
      <c r="B35" s="77" t="s">
        <v>316</v>
      </c>
      <c r="C35" s="65" t="str">
        <f>_xlfn.XLOOKUP($B35,'Schedule and Progress'!$B$2:$B$187,'Schedule and Progress'!$C$2:$C$187)</f>
        <v xml:space="preserve">  §07. System Design and Layout - SBD, related flowcharts, descriptions</v>
      </c>
      <c r="D35" s="80">
        <f>_xlfn.XLOOKUP($B35,'Schedule and Progress'!$B$2:$B$187,'Schedule and Progress'!$F$2:$F$187)</f>
        <v>0</v>
      </c>
      <c r="E35" s="145" t="s">
        <v>618</v>
      </c>
      <c r="F35" s="149" t="s">
        <v>619</v>
      </c>
      <c r="G35" s="197"/>
    </row>
    <row r="36" spans="2:7" x14ac:dyDescent="0.35">
      <c r="B36" s="76"/>
      <c r="C36" s="71"/>
      <c r="D36" s="71"/>
      <c r="E36" s="148"/>
      <c r="F36" s="148"/>
      <c r="G36" s="196"/>
    </row>
    <row r="37" spans="2:7" ht="101.5" x14ac:dyDescent="0.35">
      <c r="B37" s="77" t="s">
        <v>319</v>
      </c>
      <c r="C37" s="65" t="str">
        <f>_xlfn.XLOOKUP($B37,'Schedule and Progress'!$B$2:$B$187,'Schedule and Progress'!$C$2:$C$187)</f>
        <v xml:space="preserve">  §08. Hardware Components &amp; Specifications - with cited pics</v>
      </c>
      <c r="D37" s="80">
        <f>_xlfn.XLOOKUP($B37,'Schedule and Progress'!$B$2:$B$187,'Schedule and Progress'!$F$2:$F$187)</f>
        <v>0</v>
      </c>
      <c r="E37" s="145" t="s">
        <v>620</v>
      </c>
      <c r="F37" s="149" t="s">
        <v>621</v>
      </c>
      <c r="G37" s="197"/>
    </row>
    <row r="38" spans="2:7" x14ac:dyDescent="0.35">
      <c r="B38" s="76"/>
      <c r="C38" s="71"/>
      <c r="D38" s="71"/>
      <c r="E38" s="148"/>
      <c r="F38" s="148"/>
      <c r="G38" s="196"/>
    </row>
    <row r="39" spans="2:7" ht="87" x14ac:dyDescent="0.35">
      <c r="B39" s="77" t="s">
        <v>322</v>
      </c>
      <c r="C39" s="65" t="str">
        <f>_xlfn.XLOOKUP($B39,'Schedule and Progress'!$B$2:$B$187,'Schedule and Progress'!$C$2:$C$187)</f>
        <v xml:space="preserve">  §14. References - MLA or APA format preferred</v>
      </c>
      <c r="D39" s="80">
        <f>_xlfn.XLOOKUP($B39,'Schedule and Progress'!$B$2:$B$187,'Schedule and Progress'!$F$2:$F$187)</f>
        <v>0</v>
      </c>
      <c r="E39" s="145" t="s">
        <v>622</v>
      </c>
      <c r="F39" s="149" t="s">
        <v>623</v>
      </c>
      <c r="G39" s="197"/>
    </row>
    <row r="40" spans="2:7" x14ac:dyDescent="0.35">
      <c r="B40" s="76"/>
      <c r="C40" s="71"/>
      <c r="D40" s="71"/>
      <c r="E40" s="148"/>
      <c r="F40" s="148"/>
      <c r="G40" s="196"/>
    </row>
    <row r="41" spans="2:7" ht="116" x14ac:dyDescent="0.35">
      <c r="B41" s="77" t="s">
        <v>328</v>
      </c>
      <c r="C41" s="65" t="str">
        <f>_xlfn.XLOOKUP($B41,'Schedule and Progress'!$B$2:$B$187,'Schedule and Progress'!$C$2:$C$187)</f>
        <v xml:space="preserve">  Presentation Draft - full shell file with basic layout and intro updated</v>
      </c>
      <c r="D41" s="80" t="str">
        <f>_xlfn.XLOOKUP($B41,'Schedule and Progress'!$B$2:$B$187,'Schedule and Progress'!$F$2:$F$187)</f>
        <v>Dropbox2</v>
      </c>
      <c r="E41" s="145" t="s">
        <v>624</v>
      </c>
      <c r="F41" s="149" t="s">
        <v>625</v>
      </c>
      <c r="G41" s="197"/>
    </row>
    <row r="42" spans="2:7" ht="15" thickBot="1" x14ac:dyDescent="0.4">
      <c r="B42" s="79"/>
      <c r="C42" s="65"/>
      <c r="D42" s="65"/>
      <c r="E42" s="149"/>
      <c r="F42" s="149"/>
      <c r="G42" s="195"/>
    </row>
    <row r="43" spans="2:7" ht="15" thickBot="1" x14ac:dyDescent="0.4">
      <c r="B43" s="199"/>
      <c r="C43" s="200"/>
      <c r="D43" s="200"/>
      <c r="E43" s="200"/>
      <c r="F43" s="200"/>
      <c r="G43" s="201"/>
    </row>
  </sheetData>
  <sheetProtection algorithmName="SHA-512" hashValue="YutHooZAuJW29X5FIMzounYdkhD3nY+rCYG7L43kuh1t2stWq/VgwmewApNQQFvsGFQz1Pr32gX/p2V+AdcTjw==" saltValue="m8dTDZYBIvfaYTODXrDJCw==" spinCount="100000" sheet="1" objects="1" scenarios="1"/>
  <pageMargins left="0.7" right="0.7" top="0.75" bottom="0.75" header="0.3" footer="0.3"/>
  <pageSetup scale="45" orientation="portrait" horizontalDpi="1200" verticalDpi="1200" r:id="rId1"/>
  <rowBreaks count="1" manualBreakCount="1">
    <brk id="2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2300-8952-424F-A973-A627A143EFBC}">
  <dimension ref="A1:G42"/>
  <sheetViews>
    <sheetView view="pageBreakPreview" zoomScale="85" zoomScaleNormal="85" zoomScaleSheetLayoutView="85" zoomScalePageLayoutView="10" workbookViewId="0">
      <pane xSplit="4" ySplit="2" topLeftCell="E3" activePane="bottomRight" state="frozen"/>
      <selection pane="topRight" activeCell="G1" sqref="G1"/>
      <selection pane="bottomLeft" activeCell="A6" sqref="A6"/>
      <selection pane="bottomRight" activeCell="B2" sqref="B2"/>
    </sheetView>
  </sheetViews>
  <sheetFormatPr defaultColWidth="8.6328125" defaultRowHeight="14.5" x14ac:dyDescent="0.35"/>
  <cols>
    <col min="1" max="1" width="3.453125" style="2" customWidth="1"/>
    <col min="2" max="2" width="8.6328125" style="1" customWidth="1"/>
    <col min="3" max="3" width="45.453125" style="2" customWidth="1"/>
    <col min="4" max="4" width="13.453125" style="2" hidden="1" customWidth="1"/>
    <col min="5" max="7" width="45.453125" style="2" customWidth="1"/>
    <col min="8" max="8" width="4.453125" style="2" customWidth="1"/>
    <col min="9" max="16384" width="8.6328125" style="2"/>
  </cols>
  <sheetData>
    <row r="1" spans="1:7" ht="15" thickBot="1" x14ac:dyDescent="0.4"/>
    <row r="2" spans="1:7" ht="29.5" thickBot="1" x14ac:dyDescent="0.4">
      <c r="B2" s="179" t="s">
        <v>171</v>
      </c>
      <c r="C2" s="180" t="str">
        <f>'Schedule and Progress'!C2</f>
        <v>Description of Tasks - TPJ655</v>
      </c>
      <c r="D2" s="180" t="s">
        <v>173</v>
      </c>
      <c r="E2" s="152" t="s">
        <v>585</v>
      </c>
      <c r="F2" s="152" t="s">
        <v>586</v>
      </c>
      <c r="G2" s="189" t="s">
        <v>587</v>
      </c>
    </row>
    <row r="3" spans="1:7" x14ac:dyDescent="0.35">
      <c r="B3" s="181"/>
      <c r="C3" s="182"/>
      <c r="D3" s="183"/>
      <c r="E3" s="183"/>
      <c r="F3" s="183"/>
      <c r="G3" s="184"/>
    </row>
    <row r="4" spans="1:7" ht="15" thickBot="1" x14ac:dyDescent="0.4">
      <c r="B4" s="185" t="s">
        <v>626</v>
      </c>
      <c r="C4" s="186" t="b">
        <v>0</v>
      </c>
      <c r="D4" s="187"/>
      <c r="E4" s="187"/>
      <c r="F4" s="187"/>
      <c r="G4" s="188"/>
    </row>
    <row r="5" spans="1:7" ht="130.5" x14ac:dyDescent="0.35">
      <c r="A5" s="61"/>
      <c r="B5" s="77" t="s">
        <v>343</v>
      </c>
      <c r="C5" s="65" t="str">
        <f>_xlfn.XLOOKUP($B5,'Schedule and Progress'!$B$2:$B$187,'Schedule and Progress'!$C$2:$C$187)</f>
        <v xml:space="preserve">  Bring in physical paper of PCB printed layout, version 1, 100% scale</v>
      </c>
      <c r="D5" s="80">
        <f>_xlfn.XLOOKUP($B5,'Schedule and Progress'!$B$2:$B$187,'Schedule and Progress'!$F$2:$F$187)</f>
        <v>0</v>
      </c>
      <c r="E5" s="145" t="s">
        <v>627</v>
      </c>
      <c r="F5" s="146" t="s">
        <v>628</v>
      </c>
      <c r="G5" s="67"/>
    </row>
    <row r="6" spans="1:7" ht="18" customHeight="1" thickBot="1" x14ac:dyDescent="0.4">
      <c r="A6" s="61"/>
      <c r="B6" s="76"/>
      <c r="C6" s="66"/>
      <c r="D6" s="71"/>
      <c r="E6" s="71"/>
      <c r="F6" s="71"/>
      <c r="G6" s="88"/>
    </row>
    <row r="7" spans="1:7" x14ac:dyDescent="0.35">
      <c r="A7" s="61"/>
      <c r="B7" s="181"/>
      <c r="C7" s="182"/>
      <c r="D7" s="183"/>
      <c r="E7" s="183"/>
      <c r="F7" s="183"/>
      <c r="G7" s="184"/>
    </row>
    <row r="8" spans="1:7" ht="15" thickBot="1" x14ac:dyDescent="0.4">
      <c r="A8" s="61"/>
      <c r="B8" s="185" t="s">
        <v>629</v>
      </c>
      <c r="C8" s="186" t="b">
        <v>0</v>
      </c>
      <c r="D8" s="187"/>
      <c r="E8" s="187"/>
      <c r="F8" s="187"/>
      <c r="G8" s="188"/>
    </row>
    <row r="9" spans="1:7" ht="130.5" x14ac:dyDescent="0.35">
      <c r="A9" s="61" t="s">
        <v>589</v>
      </c>
      <c r="B9" s="77" t="s">
        <v>371</v>
      </c>
      <c r="C9" s="65" t="str">
        <f>_xlfn.XLOOKUP($B9,'Schedule and Progress'!$B$2:$B$187,'Schedule and Progress'!$C$2:$C$187)</f>
        <v xml:space="preserve">  Demo Live: Show instructor 3D model, get feedback before printing</v>
      </c>
      <c r="D9" s="80">
        <f>_xlfn.XLOOKUP($B9,'Schedule and Progress'!$B$2:$B$187,'Schedule and Progress'!$F$2:$F$187)</f>
        <v>0</v>
      </c>
      <c r="E9" s="145" t="s">
        <v>630</v>
      </c>
      <c r="F9" s="151" t="s">
        <v>631</v>
      </c>
      <c r="G9" s="67"/>
    </row>
    <row r="10" spans="1:7" ht="18" customHeight="1" x14ac:dyDescent="0.35">
      <c r="A10" s="61"/>
      <c r="B10" s="76"/>
      <c r="C10" s="71"/>
      <c r="D10" s="71"/>
      <c r="E10" s="144"/>
      <c r="F10" s="71"/>
      <c r="G10" s="68"/>
    </row>
    <row r="11" spans="1:7" ht="87" x14ac:dyDescent="0.35">
      <c r="A11" s="61" t="s">
        <v>589</v>
      </c>
      <c r="B11" s="77" t="s">
        <v>387</v>
      </c>
      <c r="C11" s="65" t="str">
        <f>_xlfn.XLOOKUP($B11,'Schedule and Progress'!$B$2:$B$187,'Schedule and Progress'!$C$2:$C$187)</f>
        <v xml:space="preserve">  §01. Title Page</v>
      </c>
      <c r="D11" s="80">
        <f>_xlfn.XLOOKUP($B11,'Schedule and Progress'!$B$2:$B$187,'Schedule and Progress'!$F$2:$F$187)</f>
        <v>0</v>
      </c>
      <c r="E11" s="145" t="s">
        <v>632</v>
      </c>
      <c r="F11" s="151" t="s">
        <v>633</v>
      </c>
      <c r="G11" s="67"/>
    </row>
    <row r="12" spans="1:7" ht="18" customHeight="1" x14ac:dyDescent="0.35">
      <c r="A12" s="61"/>
      <c r="B12" s="76"/>
      <c r="C12" s="71"/>
      <c r="D12" s="71"/>
      <c r="E12" s="144"/>
      <c r="F12" s="71"/>
      <c r="G12" s="68"/>
    </row>
    <row r="13" spans="1:7" ht="87" x14ac:dyDescent="0.35">
      <c r="A13" s="61" t="s">
        <v>589</v>
      </c>
      <c r="B13" s="77" t="s">
        <v>390</v>
      </c>
      <c r="C13" s="65" t="str">
        <f>_xlfn.XLOOKUP($B13,'Schedule and Progress'!$B$2:$B$187,'Schedule and Progress'!$C$2:$C$187)</f>
        <v xml:space="preserve">  §03. Table of Contents (TOC) and Table of Figures (TOF)</v>
      </c>
      <c r="D13" s="80">
        <f>_xlfn.XLOOKUP($B13,'Schedule and Progress'!$B$2:$B$187,'Schedule and Progress'!$F$2:$F$187)</f>
        <v>0</v>
      </c>
      <c r="E13" s="145" t="s">
        <v>634</v>
      </c>
      <c r="F13" s="151" t="s">
        <v>631</v>
      </c>
      <c r="G13" s="67"/>
    </row>
    <row r="14" spans="1:7" ht="18" customHeight="1" x14ac:dyDescent="0.35">
      <c r="A14" s="61"/>
      <c r="B14" s="76"/>
      <c r="C14" s="71"/>
      <c r="D14" s="71"/>
      <c r="E14" s="144"/>
      <c r="F14" s="71"/>
      <c r="G14" s="68"/>
    </row>
    <row r="15" spans="1:7" ht="130.5" x14ac:dyDescent="0.35">
      <c r="A15" s="61" t="s">
        <v>589</v>
      </c>
      <c r="B15" s="77" t="s">
        <v>393</v>
      </c>
      <c r="C15" s="65" t="str">
        <f>_xlfn.XLOOKUP($B15,'Schedule and Progress'!$B$2:$B$187,'Schedule and Progress'!$C$2:$C$187)</f>
        <v xml:space="preserve">  §06. System Functional Features &amp; Specifications</v>
      </c>
      <c r="D15" s="80">
        <f>_xlfn.XLOOKUP($B15,'Schedule and Progress'!$B$2:$B$187,'Schedule and Progress'!$F$2:$F$187)</f>
        <v>0</v>
      </c>
      <c r="E15" s="145" t="s">
        <v>635</v>
      </c>
      <c r="F15" s="151" t="s">
        <v>631</v>
      </c>
      <c r="G15" s="67"/>
    </row>
    <row r="16" spans="1:7" ht="18" customHeight="1" x14ac:dyDescent="0.35">
      <c r="A16" s="61"/>
      <c r="B16" s="76"/>
      <c r="C16" s="71"/>
      <c r="D16" s="71"/>
      <c r="E16" s="144"/>
      <c r="F16" s="71"/>
      <c r="G16" s="68"/>
    </row>
    <row r="17" spans="1:7" ht="145" x14ac:dyDescent="0.35">
      <c r="A17" s="61" t="s">
        <v>589</v>
      </c>
      <c r="B17" s="77" t="s">
        <v>396</v>
      </c>
      <c r="C17" s="65" t="str">
        <f>_xlfn.XLOOKUP($B17,'Schedule and Progress'!$B$2:$B$187,'Schedule and Progress'!$C$2:$C$187)</f>
        <v xml:space="preserve">  §10. Product Operating Instructions</v>
      </c>
      <c r="D17" s="80">
        <f>_xlfn.XLOOKUP($B17,'Schedule and Progress'!$B$2:$B$187,'Schedule and Progress'!$F$2:$F$187)</f>
        <v>0</v>
      </c>
      <c r="E17" s="145" t="s">
        <v>636</v>
      </c>
      <c r="F17" s="151" t="s">
        <v>631</v>
      </c>
      <c r="G17" s="67"/>
    </row>
    <row r="18" spans="1:7" ht="18" customHeight="1" x14ac:dyDescent="0.35">
      <c r="A18" s="61"/>
      <c r="B18" s="76"/>
      <c r="C18" s="71"/>
      <c r="D18" s="71"/>
      <c r="E18" s="144"/>
      <c r="F18" s="71"/>
      <c r="G18" s="68"/>
    </row>
    <row r="19" spans="1:7" ht="101.5" x14ac:dyDescent="0.35">
      <c r="A19" s="61" t="s">
        <v>589</v>
      </c>
      <c r="B19" s="77" t="s">
        <v>400</v>
      </c>
      <c r="C19" s="65" t="str">
        <f>_xlfn.XLOOKUP($B19,'Schedule and Progress'!$B$2:$B$187,'Schedule and Progress'!$C$2:$C$187)</f>
        <v xml:space="preserve">  §15B - Schematic Diagrams of System &amp; PCBs (all) - use Fusion to export .jpg</v>
      </c>
      <c r="D19" s="80">
        <f>_xlfn.XLOOKUP($B19,'Schedule and Progress'!$B$2:$B$187,'Schedule and Progress'!$F$2:$F$187)</f>
        <v>0</v>
      </c>
      <c r="E19" s="145" t="s">
        <v>637</v>
      </c>
      <c r="F19" s="151" t="s">
        <v>631</v>
      </c>
      <c r="G19" s="67"/>
    </row>
    <row r="20" spans="1:7" ht="18" customHeight="1" x14ac:dyDescent="0.35">
      <c r="A20" s="61"/>
      <c r="B20" s="76"/>
      <c r="C20" s="71"/>
      <c r="D20" s="71"/>
      <c r="E20" s="144"/>
      <c r="F20" s="71"/>
      <c r="G20" s="68"/>
    </row>
    <row r="21" spans="1:7" ht="188.5" x14ac:dyDescent="0.35">
      <c r="A21" s="61" t="s">
        <v>589</v>
      </c>
      <c r="B21" s="77" t="s">
        <v>402</v>
      </c>
      <c r="C21" s="65" t="str">
        <f>_xlfn.XLOOKUP($B21,'Schedule and Progress'!$B$2:$B$187,'Schedule and Progress'!$C$2:$C$187)</f>
        <v xml:space="preserve">  §15C - PCB Layout Design Diagram (all) - use Fusion to export .jpg</v>
      </c>
      <c r="D21" s="80">
        <f>_xlfn.XLOOKUP($B21,'Schedule and Progress'!$B$2:$B$187,'Schedule and Progress'!$F$2:$F$187)</f>
        <v>0</v>
      </c>
      <c r="E21" s="145" t="s">
        <v>638</v>
      </c>
      <c r="F21" s="151" t="s">
        <v>639</v>
      </c>
      <c r="G21" s="67"/>
    </row>
    <row r="22" spans="1:7" ht="18" customHeight="1" x14ac:dyDescent="0.35">
      <c r="A22" s="61"/>
      <c r="B22" s="76"/>
      <c r="C22" s="71"/>
      <c r="D22" s="71"/>
      <c r="E22" s="144"/>
      <c r="F22" s="71"/>
      <c r="G22" s="68"/>
    </row>
    <row r="23" spans="1:7" ht="116" x14ac:dyDescent="0.35">
      <c r="A23" s="61"/>
      <c r="B23" s="79" t="s">
        <v>405</v>
      </c>
      <c r="C23" s="65" t="str">
        <f>_xlfn.XLOOKUP($B23,'Schedule and Progress'!$B$2:$B$187,'Schedule and Progress'!$C$2:$C$187)</f>
        <v xml:space="preserve">  §15F - Coding Flowchart - use Visio or yEd to export .jpg</v>
      </c>
      <c r="D23" s="80">
        <f>_xlfn.XLOOKUP($B23,'Schedule and Progress'!$B$2:$B$187,'Schedule and Progress'!$F$2:$F$187)</f>
        <v>0</v>
      </c>
      <c r="E23" s="145" t="s">
        <v>640</v>
      </c>
      <c r="F23" s="151" t="s">
        <v>641</v>
      </c>
      <c r="G23" s="67"/>
    </row>
    <row r="24" spans="1:7" ht="18" customHeight="1" thickBot="1" x14ac:dyDescent="0.4">
      <c r="A24" s="61"/>
      <c r="B24" s="79"/>
      <c r="C24" s="71"/>
      <c r="D24" s="71"/>
      <c r="E24" s="71"/>
      <c r="F24" s="71"/>
      <c r="G24" s="88"/>
    </row>
    <row r="25" spans="1:7" x14ac:dyDescent="0.35">
      <c r="A25" s="61"/>
      <c r="B25" s="105"/>
      <c r="C25" s="109"/>
      <c r="D25" s="90"/>
      <c r="E25" s="90"/>
      <c r="F25" s="90"/>
      <c r="G25" s="108"/>
    </row>
    <row r="26" spans="1:7" ht="15" thickBot="1" x14ac:dyDescent="0.4">
      <c r="B26" s="89" t="s">
        <v>642</v>
      </c>
      <c r="C26" s="106" t="b">
        <v>0</v>
      </c>
      <c r="D26" s="93"/>
      <c r="E26" s="93"/>
      <c r="F26" s="93"/>
      <c r="G26" s="93"/>
    </row>
    <row r="27" spans="1:7" ht="55" customHeight="1" thickBot="1" x14ac:dyDescent="0.4">
      <c r="A27" s="61"/>
      <c r="B27" s="78"/>
      <c r="C27" s="65" t="s">
        <v>643</v>
      </c>
      <c r="D27" s="61"/>
      <c r="E27" s="202" t="s">
        <v>644</v>
      </c>
      <c r="F27" s="61"/>
      <c r="G27" s="69"/>
    </row>
    <row r="28" spans="1:7" x14ac:dyDescent="0.35">
      <c r="A28" s="61"/>
      <c r="B28" s="105"/>
      <c r="C28" s="109"/>
      <c r="D28" s="90"/>
      <c r="E28" s="90"/>
      <c r="F28" s="90"/>
      <c r="G28" s="108"/>
    </row>
    <row r="29" spans="1:7" ht="15" thickBot="1" x14ac:dyDescent="0.4">
      <c r="B29" s="91" t="s">
        <v>645</v>
      </c>
      <c r="C29" s="106" t="b">
        <v>0</v>
      </c>
      <c r="D29" s="93"/>
      <c r="E29" s="93"/>
      <c r="F29" s="93"/>
      <c r="G29" s="107"/>
    </row>
    <row r="30" spans="1:7" ht="58" x14ac:dyDescent="0.35">
      <c r="B30" s="78" t="s">
        <v>416</v>
      </c>
      <c r="C30" s="65" t="str">
        <f>_xlfn.XLOOKUP($B30,'Schedule and Progress'!$B$2:$B$187,'Schedule and Progress'!$C$2:$C$187)</f>
        <v xml:space="preserve">  Bring in physical PCB, version 1 or higher</v>
      </c>
      <c r="D30" s="80">
        <f>_xlfn.XLOOKUP($B30,'Schedule and Progress'!$B$2:$B$187,'Schedule and Progress'!$F$2:$F$187)</f>
        <v>0</v>
      </c>
      <c r="E30" s="145" t="s">
        <v>646</v>
      </c>
      <c r="F30" s="146" t="s">
        <v>647</v>
      </c>
      <c r="G30" s="72"/>
    </row>
    <row r="31" spans="1:7" ht="18" customHeight="1" thickBot="1" x14ac:dyDescent="0.4">
      <c r="B31" s="76"/>
      <c r="C31" s="71"/>
      <c r="D31" s="71"/>
      <c r="E31" s="144"/>
      <c r="F31" s="71"/>
      <c r="G31" s="68"/>
    </row>
    <row r="32" spans="1:7" x14ac:dyDescent="0.35">
      <c r="A32" s="61"/>
      <c r="B32" s="105"/>
      <c r="C32" s="109"/>
      <c r="D32" s="90"/>
      <c r="E32" s="90"/>
      <c r="F32" s="90"/>
      <c r="G32" s="108"/>
    </row>
    <row r="33" spans="2:7" ht="15" thickBot="1" x14ac:dyDescent="0.4">
      <c r="B33" s="91" t="s">
        <v>427</v>
      </c>
      <c r="C33" s="106" t="b">
        <v>0</v>
      </c>
      <c r="D33" s="93"/>
      <c r="E33" s="93"/>
      <c r="F33" s="93"/>
      <c r="G33" s="107"/>
    </row>
    <row r="34" spans="2:7" ht="72.5" x14ac:dyDescent="0.35">
      <c r="B34" s="77" t="s">
        <v>429</v>
      </c>
      <c r="C34" s="65" t="str">
        <f>_xlfn.XLOOKUP($B34,'Schedule and Progress'!$B$2:$B$187,'Schedule and Progress'!$C$2:$C$187)</f>
        <v xml:space="preserve">  Project Charter - include updates to all tabs, interim version</v>
      </c>
      <c r="D34" s="80" t="str">
        <f>_xlfn.XLOOKUP($B34,'Schedule and Progress'!$B$2:$B$187,'Schedule and Progress'!$F$2:$F$187)</f>
        <v>Dropbox4</v>
      </c>
      <c r="E34" s="145" t="s">
        <v>590</v>
      </c>
      <c r="F34" s="149" t="s">
        <v>648</v>
      </c>
      <c r="G34" s="73"/>
    </row>
    <row r="35" spans="2:7" ht="18" customHeight="1" x14ac:dyDescent="0.35">
      <c r="B35" s="76"/>
      <c r="C35" s="71"/>
      <c r="D35" s="71"/>
      <c r="E35" s="71"/>
      <c r="F35" s="71"/>
      <c r="G35" s="68"/>
    </row>
    <row r="36" spans="2:7" ht="116" x14ac:dyDescent="0.35">
      <c r="B36" s="79" t="s">
        <v>450</v>
      </c>
      <c r="C36" s="65" t="str">
        <f>_xlfn.XLOOKUP($B36,'Schedule and Progress'!$B$2:$B$187,'Schedule and Progress'!$C$2:$C$187)</f>
        <v xml:space="preserve">  §09. Theory of Operation</v>
      </c>
      <c r="D36" s="80">
        <f>_xlfn.XLOOKUP($B36,'Schedule and Progress'!$B$2:$B$187,'Schedule and Progress'!$F$2:$F$187)</f>
        <v>0</v>
      </c>
      <c r="E36" s="145" t="s">
        <v>649</v>
      </c>
      <c r="F36" s="151" t="s">
        <v>650</v>
      </c>
      <c r="G36" s="67"/>
    </row>
    <row r="37" spans="2:7" ht="18" customHeight="1" x14ac:dyDescent="0.35">
      <c r="B37" s="76"/>
      <c r="C37" s="71"/>
      <c r="D37" s="71"/>
      <c r="E37" s="147"/>
      <c r="F37" s="148"/>
      <c r="G37" s="68"/>
    </row>
    <row r="38" spans="2:7" ht="130.5" x14ac:dyDescent="0.35">
      <c r="B38" s="77" t="s">
        <v>453</v>
      </c>
      <c r="C38" s="65" t="str">
        <f>_xlfn.XLOOKUP($B38,'Schedule and Progress'!$B$2:$B$187,'Schedule and Progress'!$C$2:$C$187)</f>
        <v xml:space="preserve">  §11. Maintenance Requirements</v>
      </c>
      <c r="D38" s="80">
        <f>_xlfn.XLOOKUP($B38,'Schedule and Progress'!$B$2:$B$187,'Schedule and Progress'!$F$2:$F$187)</f>
        <v>0</v>
      </c>
      <c r="E38" s="145" t="s">
        <v>651</v>
      </c>
      <c r="F38" s="151" t="s">
        <v>631</v>
      </c>
      <c r="G38" s="73"/>
    </row>
    <row r="39" spans="2:7" ht="18" customHeight="1" x14ac:dyDescent="0.35">
      <c r="B39" s="76"/>
      <c r="C39" s="71"/>
      <c r="D39" s="71"/>
      <c r="E39" s="147"/>
      <c r="F39" s="148"/>
      <c r="G39" s="68"/>
    </row>
    <row r="40" spans="2:7" ht="72.5" x14ac:dyDescent="0.35">
      <c r="B40" s="77" t="s">
        <v>457</v>
      </c>
      <c r="C40" s="65" t="str">
        <f>_xlfn.XLOOKUP($B40,'Schedule and Progress'!$B$2:$B$187,'Schedule and Progress'!$C$2:$C$187)</f>
        <v xml:space="preserve">  §15E - IoT Dashboard - final screenshots as .jpg</v>
      </c>
      <c r="D40" s="80">
        <f>_xlfn.XLOOKUP($B40,'Schedule and Progress'!$B$2:$B$187,'Schedule and Progress'!$F$2:$F$187)</f>
        <v>0</v>
      </c>
      <c r="E40" s="145" t="s">
        <v>652</v>
      </c>
      <c r="F40" s="151" t="s">
        <v>631</v>
      </c>
      <c r="G40" s="73"/>
    </row>
    <row r="41" spans="2:7" ht="18" customHeight="1" x14ac:dyDescent="0.35">
      <c r="B41" s="76"/>
      <c r="C41" s="71"/>
      <c r="D41" s="71"/>
      <c r="E41" s="147"/>
      <c r="F41" s="148"/>
      <c r="G41" s="68"/>
    </row>
    <row r="42" spans="2:7" ht="15" thickBot="1" x14ac:dyDescent="0.4">
      <c r="B42" s="91"/>
      <c r="C42" s="92"/>
      <c r="D42" s="92"/>
      <c r="E42" s="92"/>
      <c r="F42" s="92"/>
      <c r="G42" s="93"/>
    </row>
  </sheetData>
  <sheetProtection algorithmName="SHA-512" hashValue="ZEw68tlMqmjNAUYfk1sV7A5LtpihyITnnLjWJm7oItyjMsF+0x+Q5XbLmQY6DBlkXQlrEatqpcNk5k1giWJQvg==" saltValue="BeQ2Iz0/yZPQOY1mqY2KQw==" spinCount="100000" sheet="1" objects="1" scenarios="1"/>
  <pageMargins left="0.7" right="0.7" top="0.75" bottom="0.75" header="0.3" footer="0.3"/>
  <pageSetup scale="45" orientation="portrait" horizontalDpi="1200" verticalDpi="1200" r:id="rId1"/>
  <rowBreaks count="1" manualBreakCount="1">
    <brk id="2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06957-04C5-4C03-A348-B18E708B6272}">
  <dimension ref="A1:H43"/>
  <sheetViews>
    <sheetView tabSelected="1" view="pageBreakPreview" zoomScale="85" zoomScaleNormal="85" zoomScaleSheetLayoutView="85" zoomScalePageLayoutView="25" workbookViewId="0">
      <pane xSplit="4" ySplit="2" topLeftCell="E3" activePane="bottomRight" state="frozen"/>
      <selection pane="topRight" activeCell="G1" sqref="G1"/>
      <selection pane="bottomLeft" activeCell="A6" sqref="A6"/>
      <selection pane="bottomRight" activeCell="B2" sqref="B2"/>
    </sheetView>
  </sheetViews>
  <sheetFormatPr defaultColWidth="8.6328125" defaultRowHeight="14.5" x14ac:dyDescent="0.35"/>
  <cols>
    <col min="1" max="1" width="3.453125" style="2" customWidth="1"/>
    <col min="2" max="2" width="8.6328125" style="1" customWidth="1"/>
    <col min="3" max="3" width="45.453125" style="2" customWidth="1"/>
    <col min="4" max="4" width="13.453125" style="2" hidden="1" customWidth="1"/>
    <col min="5" max="7" width="45.453125" style="2" customWidth="1"/>
    <col min="8" max="8" width="4.453125" style="2" customWidth="1"/>
    <col min="9" max="16384" width="8.6328125" style="2"/>
  </cols>
  <sheetData>
    <row r="1" spans="1:8" ht="15" thickBot="1" x14ac:dyDescent="0.4"/>
    <row r="2" spans="1:8" ht="29.5" thickBot="1" x14ac:dyDescent="0.4">
      <c r="B2" s="94" t="s">
        <v>171</v>
      </c>
      <c r="C2" s="95" t="str">
        <f>'Schedule and Progress'!C2</f>
        <v>Description of Tasks - TPJ655</v>
      </c>
      <c r="D2" s="95" t="s">
        <v>173</v>
      </c>
      <c r="E2" s="152" t="s">
        <v>585</v>
      </c>
      <c r="F2" s="152" t="s">
        <v>586</v>
      </c>
      <c r="G2" s="203" t="s">
        <v>587</v>
      </c>
    </row>
    <row r="3" spans="1:8" x14ac:dyDescent="0.35">
      <c r="B3" s="111"/>
      <c r="C3" s="112"/>
      <c r="D3" s="97"/>
      <c r="E3" s="97"/>
      <c r="F3" s="97"/>
      <c r="G3" s="204"/>
    </row>
    <row r="4" spans="1:8" ht="15" thickBot="1" x14ac:dyDescent="0.4">
      <c r="B4" s="99" t="s">
        <v>464</v>
      </c>
      <c r="C4" s="110" t="b">
        <v>0</v>
      </c>
      <c r="D4" s="100"/>
      <c r="E4" s="100"/>
      <c r="F4" s="100"/>
      <c r="G4" s="205"/>
    </row>
    <row r="5" spans="1:8" ht="72.5" x14ac:dyDescent="0.35">
      <c r="A5" s="61"/>
      <c r="B5" s="77" t="s">
        <v>467</v>
      </c>
      <c r="C5" s="65" t="str">
        <f>_xlfn.XLOOKUP($B5,'Schedule and Progress'!$B$2:$B$187,'Schedule and Progress'!$C$2:$C$187)</f>
        <v xml:space="preserve">  On Hand: All materials for final build - previous, plus all mechanicals</v>
      </c>
      <c r="D5" s="80">
        <f>_xlfn.XLOOKUP($B5,'Schedule and Progress'!$B$2:$B$187,'Schedule and Progress'!$F$2:$F$187)</f>
        <v>0</v>
      </c>
      <c r="E5" s="145" t="s">
        <v>653</v>
      </c>
      <c r="F5" s="146" t="s">
        <v>654</v>
      </c>
      <c r="G5" s="195"/>
    </row>
    <row r="6" spans="1:8" ht="18" customHeight="1" x14ac:dyDescent="0.35">
      <c r="A6" s="61"/>
      <c r="B6" s="76"/>
      <c r="C6" s="66"/>
      <c r="D6" s="71"/>
      <c r="E6" s="147"/>
      <c r="F6" s="148"/>
      <c r="G6" s="206"/>
    </row>
    <row r="7" spans="1:8" ht="58" x14ac:dyDescent="0.35">
      <c r="A7" s="61"/>
      <c r="B7" s="77" t="s">
        <v>473</v>
      </c>
      <c r="C7" s="65" t="str">
        <f>_xlfn.XLOOKUP($B7,'Schedule and Progress'!$B$2:$B$187,'Schedule and Progress'!$C$2:$C$187)</f>
        <v xml:space="preserve">  Install one 3D Model on project build (minimum)</v>
      </c>
      <c r="D7" s="80">
        <f>_xlfn.XLOOKUP($B7,'Schedule and Progress'!$B$2:$B$187,'Schedule and Progress'!$F$2:$F$187)</f>
        <v>0</v>
      </c>
      <c r="E7" s="145" t="s">
        <v>655</v>
      </c>
      <c r="F7" s="149" t="s">
        <v>656</v>
      </c>
      <c r="G7" s="195"/>
    </row>
    <row r="8" spans="1:8" ht="18" customHeight="1" x14ac:dyDescent="0.35">
      <c r="A8" s="61"/>
      <c r="B8" s="76"/>
      <c r="C8" s="66"/>
      <c r="D8" s="71"/>
      <c r="E8" s="147"/>
      <c r="F8" s="148"/>
      <c r="G8" s="206"/>
    </row>
    <row r="9" spans="1:8" ht="72.5" x14ac:dyDescent="0.35">
      <c r="A9" s="61"/>
      <c r="B9" s="79" t="s">
        <v>476</v>
      </c>
      <c r="C9" s="65" t="str">
        <f>_xlfn.XLOOKUP($B9,'Schedule and Progress'!$B$2:$B$187,'Schedule and Progress'!$C$2:$C$187)</f>
        <v xml:space="preserve">  Demo Live: Current Full Code of Project - show in the IDE</v>
      </c>
      <c r="D9" s="80">
        <f>_xlfn.XLOOKUP($B9,'Schedule and Progress'!$B$2:$B$187,'Schedule and Progress'!$F$2:$F$187)</f>
        <v>0</v>
      </c>
      <c r="E9" s="145" t="s">
        <v>657</v>
      </c>
      <c r="F9" s="149" t="s">
        <v>658</v>
      </c>
      <c r="G9" s="195"/>
    </row>
    <row r="10" spans="1:8" ht="18" customHeight="1" thickBot="1" x14ac:dyDescent="0.4">
      <c r="A10" s="61"/>
      <c r="B10" s="76"/>
      <c r="C10" s="71"/>
      <c r="D10" s="71"/>
      <c r="E10" s="148"/>
      <c r="F10" s="148"/>
      <c r="G10" s="206"/>
      <c r="H10" s="119" t="b">
        <v>0</v>
      </c>
    </row>
    <row r="11" spans="1:8" x14ac:dyDescent="0.35">
      <c r="A11" s="61"/>
      <c r="B11" s="111"/>
      <c r="C11" s="112"/>
      <c r="D11" s="97"/>
      <c r="E11" s="97"/>
      <c r="F11" s="97"/>
      <c r="G11" s="204"/>
    </row>
    <row r="12" spans="1:8" ht="15" thickBot="1" x14ac:dyDescent="0.4">
      <c r="A12" s="61"/>
      <c r="B12" s="99" t="s">
        <v>479</v>
      </c>
      <c r="C12" s="110" t="b">
        <v>0</v>
      </c>
      <c r="D12" s="100"/>
      <c r="E12" s="100"/>
      <c r="F12" s="100"/>
      <c r="G12" s="205"/>
    </row>
    <row r="13" spans="1:8" ht="130.5" x14ac:dyDescent="0.35">
      <c r="B13" s="78" t="s">
        <v>486</v>
      </c>
      <c r="C13" s="65" t="str">
        <f>_xlfn.XLOOKUP($B13,'Schedule and Progress'!$B$2:$B$187,'Schedule and Progress'!$C$2:$C$187)</f>
        <v xml:space="preserve">  Confirm all hardware is installed with appropriate connections to PCB</v>
      </c>
      <c r="D13" s="80">
        <f>_xlfn.XLOOKUP($B13,'Schedule and Progress'!$B$2:$B$187,'Schedule and Progress'!$F$2:$F$187)</f>
        <v>0</v>
      </c>
      <c r="E13" s="145" t="s">
        <v>659</v>
      </c>
      <c r="F13" s="146" t="s">
        <v>660</v>
      </c>
      <c r="G13" s="207"/>
    </row>
    <row r="14" spans="1:8" ht="18" customHeight="1" x14ac:dyDescent="0.35">
      <c r="B14" s="76"/>
      <c r="C14" s="71"/>
      <c r="D14" s="71"/>
      <c r="E14" s="147"/>
      <c r="F14" s="148"/>
      <c r="G14" s="196"/>
    </row>
    <row r="15" spans="1:8" ht="87" x14ac:dyDescent="0.35">
      <c r="B15" s="77" t="s">
        <v>495</v>
      </c>
      <c r="C15" s="65" t="str">
        <f>_xlfn.XLOOKUP($B15,'Schedule and Progress'!$B$2:$B$187,'Schedule and Progress'!$C$2:$C$187)</f>
        <v xml:space="preserve">  Demo Live: Upload code to MCU using IDE</v>
      </c>
      <c r="D15" s="80">
        <f>_xlfn.XLOOKUP($B15,'Schedule and Progress'!$B$2:$B$187,'Schedule and Progress'!$F$2:$F$187)</f>
        <v>0</v>
      </c>
      <c r="E15" s="145" t="s">
        <v>661</v>
      </c>
      <c r="F15" s="149" t="s">
        <v>656</v>
      </c>
      <c r="G15" s="197"/>
    </row>
    <row r="16" spans="1:8" ht="18" customHeight="1" x14ac:dyDescent="0.35">
      <c r="B16" s="76"/>
      <c r="C16" s="71"/>
      <c r="D16" s="71"/>
      <c r="E16" s="147"/>
      <c r="F16" s="148"/>
      <c r="G16" s="196"/>
    </row>
    <row r="17" spans="1:8" ht="101.5" x14ac:dyDescent="0.35">
      <c r="B17" s="77" t="s">
        <v>508</v>
      </c>
      <c r="C17" s="65" t="str">
        <f>_xlfn.XLOOKUP($B17,'Schedule and Progress'!$B$2:$B$187,'Schedule and Progress'!$C$2:$C$187)</f>
        <v xml:space="preserve">  §02. Abstract</v>
      </c>
      <c r="D17" s="80">
        <f>_xlfn.XLOOKUP($B17,'Schedule and Progress'!$B$2:$B$187,'Schedule and Progress'!$F$2:$F$187)</f>
        <v>0</v>
      </c>
      <c r="E17" s="145" t="s">
        <v>662</v>
      </c>
      <c r="F17" s="151" t="s">
        <v>631</v>
      </c>
      <c r="G17" s="197"/>
    </row>
    <row r="18" spans="1:8" ht="18" customHeight="1" x14ac:dyDescent="0.35">
      <c r="B18" s="76"/>
      <c r="C18" s="71"/>
      <c r="D18" s="71"/>
      <c r="E18" s="147"/>
      <c r="F18" s="148"/>
      <c r="G18" s="196"/>
      <c r="H18" s="119" t="b">
        <v>0</v>
      </c>
    </row>
    <row r="19" spans="1:8" ht="145" x14ac:dyDescent="0.35">
      <c r="B19" s="77" t="s">
        <v>511</v>
      </c>
      <c r="C19" s="65" t="str">
        <f>_xlfn.XLOOKUP($B19,'Schedule and Progress'!$B$2:$B$187,'Schedule and Progress'!$C$2:$C$187)</f>
        <v xml:space="preserve">  §12. Future Improvements</v>
      </c>
      <c r="D19" s="80">
        <f>_xlfn.XLOOKUP($B19,'Schedule and Progress'!$B$2:$B$187,'Schedule and Progress'!$F$2:$F$187)</f>
        <v>0</v>
      </c>
      <c r="E19" s="145" t="s">
        <v>663</v>
      </c>
      <c r="F19" s="151" t="s">
        <v>631</v>
      </c>
      <c r="G19" s="197"/>
    </row>
    <row r="20" spans="1:8" ht="18" customHeight="1" x14ac:dyDescent="0.35">
      <c r="B20" s="76"/>
      <c r="C20" s="71"/>
      <c r="D20" s="71"/>
      <c r="E20" s="147"/>
      <c r="F20" s="148"/>
      <c r="G20" s="196"/>
    </row>
    <row r="21" spans="1:8" ht="145" x14ac:dyDescent="0.35">
      <c r="B21" s="77" t="s">
        <v>514</v>
      </c>
      <c r="C21" s="65" t="str">
        <f>_xlfn.XLOOKUP($B21,'Schedule and Progress'!$B$2:$B$187,'Schedule and Progress'!$C$2:$C$187)</f>
        <v xml:space="preserve">  §13. Conclusions: Challenges, Successes, Evidential Accuracy</v>
      </c>
      <c r="D21" s="80">
        <f>_xlfn.XLOOKUP($B21,'Schedule and Progress'!$B$2:$B$187,'Schedule and Progress'!$F$2:$F$187)</f>
        <v>0</v>
      </c>
      <c r="E21" s="145" t="s">
        <v>664</v>
      </c>
      <c r="F21" s="151" t="s">
        <v>631</v>
      </c>
      <c r="G21" s="197"/>
    </row>
    <row r="22" spans="1:8" ht="18" customHeight="1" x14ac:dyDescent="0.35">
      <c r="B22" s="76"/>
      <c r="C22" s="71"/>
      <c r="D22" s="71"/>
      <c r="E22" s="147"/>
      <c r="F22" s="148"/>
      <c r="G22" s="196"/>
    </row>
    <row r="23" spans="1:8" ht="101.5" x14ac:dyDescent="0.35">
      <c r="B23" s="77" t="s">
        <v>518</v>
      </c>
      <c r="C23" s="65" t="str">
        <f>_xlfn.XLOOKUP($B23,'Schedule and Progress'!$B$2:$B$187,'Schedule and Progress'!$C$2:$C$187)</f>
        <v xml:space="preserve">  §15F. Full Project Software Code - must be text format, fully annotated</v>
      </c>
      <c r="D23" s="80">
        <f>_xlfn.XLOOKUP($B23,'Schedule and Progress'!$B$2:$B$187,'Schedule and Progress'!$F$2:$F$187)</f>
        <v>0</v>
      </c>
      <c r="E23" s="145" t="s">
        <v>665</v>
      </c>
      <c r="F23" s="149" t="s">
        <v>666</v>
      </c>
      <c r="G23" s="197"/>
    </row>
    <row r="24" spans="1:8" ht="18" customHeight="1" thickBot="1" x14ac:dyDescent="0.4">
      <c r="B24" s="76"/>
      <c r="C24" s="71"/>
      <c r="D24" s="71"/>
      <c r="E24" s="147"/>
      <c r="F24" s="150"/>
      <c r="G24" s="196"/>
    </row>
    <row r="25" spans="1:8" x14ac:dyDescent="0.35">
      <c r="A25" s="61"/>
      <c r="B25" s="111"/>
      <c r="C25" s="112"/>
      <c r="D25" s="97"/>
      <c r="E25" s="97"/>
      <c r="F25" s="97"/>
      <c r="G25" s="204"/>
    </row>
    <row r="26" spans="1:8" ht="15" thickBot="1" x14ac:dyDescent="0.4">
      <c r="B26" s="96" t="s">
        <v>520</v>
      </c>
      <c r="C26" s="110" t="b">
        <v>0</v>
      </c>
      <c r="D26" s="101"/>
      <c r="E26" s="101"/>
      <c r="F26" s="101"/>
      <c r="G26" s="208"/>
    </row>
    <row r="27" spans="1:8" ht="116" x14ac:dyDescent="0.35">
      <c r="B27" s="78" t="s">
        <v>521</v>
      </c>
      <c r="C27" s="70" t="str">
        <f>_xlfn.XLOOKUP($B27,'Schedule and Progress'!$B$2:$B$187,'Schedule and Progress'!$C$2:$C$187)</f>
        <v xml:space="preserve">  Team Status</v>
      </c>
      <c r="D27" s="98">
        <f>_xlfn.XLOOKUP($B27,'Schedule and Progress'!$B$2:$B$187,'Schedule and Progress'!$F$2:$F$187)</f>
        <v>0</v>
      </c>
      <c r="E27" s="145" t="s">
        <v>667</v>
      </c>
      <c r="F27" s="149" t="s">
        <v>668</v>
      </c>
      <c r="G27" s="207"/>
    </row>
    <row r="28" spans="1:8" ht="18" customHeight="1" x14ac:dyDescent="0.35">
      <c r="B28" s="76"/>
      <c r="C28" s="71"/>
      <c r="D28" s="71"/>
      <c r="E28" s="147"/>
      <c r="F28" s="148"/>
      <c r="G28" s="196"/>
    </row>
    <row r="29" spans="1:8" ht="72.5" x14ac:dyDescent="0.35">
      <c r="B29" s="79" t="s">
        <v>538</v>
      </c>
      <c r="C29" s="65" t="str">
        <f>_xlfn.XLOOKUP($B29,'Schedule and Progress'!$B$2:$B$187,'Schedule and Progress'!$C$2:$C$187)</f>
        <v xml:space="preserve">  Demo Live: Final Version of Software walk-through - show in the IDE</v>
      </c>
      <c r="D29" s="80">
        <f>_xlfn.XLOOKUP($B29,'Schedule and Progress'!$B$2:$B$187,'Schedule and Progress'!$F$2:$F$187)</f>
        <v>0</v>
      </c>
      <c r="E29" s="145" t="s">
        <v>657</v>
      </c>
      <c r="F29" s="149" t="s">
        <v>658</v>
      </c>
      <c r="G29" s="195"/>
    </row>
    <row r="30" spans="1:8" ht="18" customHeight="1" thickBot="1" x14ac:dyDescent="0.4">
      <c r="B30" s="76"/>
      <c r="C30" s="71"/>
      <c r="D30" s="71"/>
      <c r="E30" s="147"/>
      <c r="F30" s="148"/>
      <c r="G30" s="196"/>
    </row>
    <row r="31" spans="1:8" x14ac:dyDescent="0.35">
      <c r="A31" s="61"/>
      <c r="B31" s="111"/>
      <c r="C31" s="112"/>
      <c r="D31" s="97"/>
      <c r="E31" s="97"/>
      <c r="F31" s="97"/>
      <c r="G31" s="204"/>
    </row>
    <row r="32" spans="1:8" ht="15" thickBot="1" x14ac:dyDescent="0.4">
      <c r="B32" s="99" t="s">
        <v>545</v>
      </c>
      <c r="C32" s="110" t="b">
        <v>0</v>
      </c>
      <c r="D32" s="101"/>
      <c r="E32" s="101"/>
      <c r="F32" s="101"/>
      <c r="G32" s="205"/>
    </row>
    <row r="33" spans="2:7" ht="94.5" customHeight="1" x14ac:dyDescent="0.35">
      <c r="B33" s="78" t="s">
        <v>546</v>
      </c>
      <c r="C33" s="65" t="str">
        <f>_xlfn.XLOOKUP($B33,'Schedule and Progress'!$B$2:$B$194,'Schedule and Progress'!$C$2:$C$194)</f>
        <v xml:space="preserve">  Team Status</v>
      </c>
      <c r="D33" s="80">
        <f>_xlfn.XLOOKUP($B33,'Schedule and Progress'!$B$2:$B$187,'Schedule and Progress'!$F$2:$F$187)</f>
        <v>0</v>
      </c>
      <c r="E33" s="145" t="s">
        <v>669</v>
      </c>
      <c r="F33" s="146" t="s">
        <v>670</v>
      </c>
      <c r="G33" s="207"/>
    </row>
    <row r="34" spans="2:7" ht="18" customHeight="1" x14ac:dyDescent="0.35">
      <c r="B34" s="76"/>
      <c r="C34" s="71"/>
      <c r="D34" s="71"/>
      <c r="E34" s="147"/>
      <c r="F34" s="148"/>
      <c r="G34" s="196"/>
    </row>
    <row r="35" spans="2:7" ht="94.5" customHeight="1" x14ac:dyDescent="0.35">
      <c r="B35" s="79" t="s">
        <v>547</v>
      </c>
      <c r="C35" s="65" t="str">
        <f>_xlfn.XLOOKUP($B35,'Schedule and Progress'!$B$2:$B$194,'Schedule and Progress'!$C$2:$C$194)</f>
        <v xml:space="preserve">  Project Charter - include updates to all tabs, final version</v>
      </c>
      <c r="D35" s="80" t="str">
        <f>_xlfn.XLOOKUP($B35,'Schedule and Progress'!$B$2:$B$187,'Schedule and Progress'!$F$2:$F$187)</f>
        <v>Dropbox6</v>
      </c>
      <c r="E35" s="145" t="s">
        <v>590</v>
      </c>
      <c r="F35" s="149" t="s">
        <v>648</v>
      </c>
      <c r="G35" s="195"/>
    </row>
    <row r="36" spans="2:7" ht="18" customHeight="1" x14ac:dyDescent="0.35">
      <c r="B36" s="76"/>
      <c r="C36" s="71"/>
      <c r="D36" s="71"/>
      <c r="E36" s="147"/>
      <c r="F36" s="148"/>
      <c r="G36" s="196"/>
    </row>
    <row r="37" spans="2:7" ht="101.5" x14ac:dyDescent="0.35">
      <c r="B37" s="77" t="s">
        <v>551</v>
      </c>
      <c r="C37" s="65" t="str">
        <f>_xlfn.XLOOKUP($B37,'Schedule and Progress'!$B$2:$B$194,'Schedule and Progress'!$C$2:$C$194)</f>
        <v xml:space="preserve">  Demo Live: Final Version of Project Demonstration - show it fully running</v>
      </c>
      <c r="D37" s="80">
        <f>_xlfn.XLOOKUP($B37,'Schedule and Progress'!$B$2:$B$187,'Schedule and Progress'!$F$2:$F$187)</f>
        <v>0</v>
      </c>
      <c r="E37" s="145" t="s">
        <v>671</v>
      </c>
      <c r="F37" s="149" t="s">
        <v>672</v>
      </c>
      <c r="G37" s="197"/>
    </row>
    <row r="38" spans="2:7" ht="18" customHeight="1" x14ac:dyDescent="0.35">
      <c r="B38" s="76"/>
      <c r="C38" s="71"/>
      <c r="D38" s="71"/>
      <c r="E38" s="147"/>
      <c r="F38" s="148"/>
      <c r="G38" s="196"/>
    </row>
    <row r="39" spans="2:7" ht="101.5" x14ac:dyDescent="0.35">
      <c r="B39" s="77" t="s">
        <v>553</v>
      </c>
      <c r="C39" s="65" t="str">
        <f>_xlfn.XLOOKUP($B39,'Schedule and Progress'!$B$2:$B$194,'Schedule and Progress'!$C$2:$C$194)</f>
        <v xml:space="preserve">  Demo Live: Final Version of IoT Dashboard - show it fully running</v>
      </c>
      <c r="D39" s="80">
        <f>_xlfn.XLOOKUP($B39,'Schedule and Progress'!$B$2:$B$187,'Schedule and Progress'!$F$2:$F$187)</f>
        <v>0</v>
      </c>
      <c r="E39" s="145" t="s">
        <v>671</v>
      </c>
      <c r="F39" s="149" t="s">
        <v>672</v>
      </c>
      <c r="G39" s="197"/>
    </row>
    <row r="40" spans="2:7" ht="18" customHeight="1" x14ac:dyDescent="0.35">
      <c r="B40" s="76"/>
      <c r="C40" s="71"/>
      <c r="D40" s="71"/>
      <c r="E40" s="147"/>
      <c r="F40" s="148"/>
      <c r="G40" s="196"/>
    </row>
    <row r="41" spans="2:7" ht="159.5" x14ac:dyDescent="0.35">
      <c r="B41" s="77" t="s">
        <v>571</v>
      </c>
      <c r="C41" s="65" t="str">
        <f>_xlfn.XLOOKUP($B41,'Schedule and Progress'!$B$2:$B$194,'Schedule and Progress'!$C$2:$C$194)</f>
        <v xml:space="preserve">  Updated: All Code (Main &amp; IoT) for entire build, text format</v>
      </c>
      <c r="D41" s="80" t="e">
        <f>_xlfn.XLOOKUP($B41,'Schedule and Progress'!$B$2:$B$187,'Schedule and Progress'!$F$2:$F$187)</f>
        <v>#N/A</v>
      </c>
      <c r="E41" s="145" t="s">
        <v>673</v>
      </c>
      <c r="F41" s="149" t="s">
        <v>658</v>
      </c>
      <c r="G41" s="197"/>
    </row>
    <row r="42" spans="2:7" ht="18" customHeight="1" x14ac:dyDescent="0.35">
      <c r="B42" s="76"/>
      <c r="C42" s="71"/>
      <c r="D42" s="71"/>
      <c r="E42" s="147"/>
      <c r="F42" s="148"/>
      <c r="G42" s="196"/>
    </row>
    <row r="43" spans="2:7" ht="15" thickBot="1" x14ac:dyDescent="0.4">
      <c r="B43" s="99"/>
      <c r="C43" s="100"/>
      <c r="D43" s="100"/>
      <c r="E43" s="100"/>
      <c r="F43" s="100"/>
      <c r="G43" s="208"/>
    </row>
  </sheetData>
  <sheetProtection algorithmName="SHA-512" hashValue="rHoFv3cQ7mPCluahp6w5iB6pbp9BsVzDlMTi49b3FrImWp9LktoAT0GXLSKeeO2uoO8J8dqNEHHi+APjvAKyYQ==" saltValue="xDIslgOrArLOEhX0vyCiug==" spinCount="100000" sheet="1" objects="1" scenarios="1"/>
  <pageMargins left="0.7" right="0.7" top="0.75" bottom="0.75" header="0.3" footer="0.3"/>
  <pageSetup scale="45" orientation="portrait" horizontalDpi="1200" verticalDpi="1200" r:id="rId1"/>
  <rowBreaks count="1" manualBreakCount="1">
    <brk id="2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Summary</vt:lpstr>
      <vt:lpstr>Budget</vt:lpstr>
      <vt:lpstr>Bill of Materials</vt:lpstr>
      <vt:lpstr>Contract Rev.1</vt:lpstr>
      <vt:lpstr>AI Profiles</vt:lpstr>
      <vt:lpstr>Schedule and Progress</vt:lpstr>
      <vt:lpstr>PH1 Marking Notes</vt:lpstr>
      <vt:lpstr>PH2 Marking Notes</vt:lpstr>
      <vt:lpstr>PH3 Marking Notes</vt:lpstr>
      <vt:lpstr>'AI Profiles'!Print_Area</vt:lpstr>
      <vt:lpstr>'Bill of Materials'!Print_Area</vt:lpstr>
      <vt:lpstr>Budget!Print_Area</vt:lpstr>
      <vt:lpstr>'Contract Rev.1'!Print_Area</vt:lpstr>
    </vt:vector>
  </TitlesOfParts>
  <Manager/>
  <Company>Seneca Polytechnic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TPJ Project Charter</dc:title>
  <dc:subject>TPJ</dc:subject>
  <dc:creator>Karen Craigs</dc:creator>
  <cp:keywords>TPJ653, TPJ655, TPJ452</cp:keywords>
  <dc:description>TPJ653, TPJ655, TPJ452</dc:description>
  <cp:lastModifiedBy>Maya Kumari</cp:lastModifiedBy>
  <cp:revision/>
  <cp:lastPrinted>2026-05-05T12:00:58Z</cp:lastPrinted>
  <dcterms:created xsi:type="dcterms:W3CDTF">2023-11-22T12:44:36Z</dcterms:created>
  <dcterms:modified xsi:type="dcterms:W3CDTF">2026-05-15T04:21:22Z</dcterms:modified>
  <cp:category>SEMET</cp:category>
  <cp:contentStatus/>
</cp:coreProperties>
</file>